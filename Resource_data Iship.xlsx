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vijay\Downloads\"/>
    </mc:Choice>
  </mc:AlternateContent>
  <xr:revisionPtr revIDLastSave="0" documentId="8_{0CA300B4-3BA5-49ED-AA1E-AF9512B2AD17}" xr6:coauthVersionLast="47" xr6:coauthVersionMax="47" xr10:uidLastSave="{00000000-0000-0000-0000-000000000000}"/>
  <bookViews>
    <workbookView xWindow="-108" yWindow="-108" windowWidth="23256" windowHeight="12456" activeTab="4" xr2:uid="{9FE63A01-B901-4E09-A17E-C589A42A18AC}"/>
  </bookViews>
  <sheets>
    <sheet name="Teachers_availability" sheetId="2" r:id="rId1"/>
    <sheet name="Book_details" sheetId="3" r:id="rId2"/>
    <sheet name="Food_items" sheetId="4" r:id="rId3"/>
    <sheet name="Pivot tables" sheetId="1" r:id="rId4"/>
    <sheet name="DASHBOARD" sheetId="7" r:id="rId5"/>
  </sheets>
  <definedNames>
    <definedName name="_xlcn.WorksheetConnection_Resource_data.xlsxBook_details1" hidden="1">Book_details[]</definedName>
    <definedName name="_xlcn.WorksheetConnection_Resource_data.xlsxFood_items1" hidden="1">Food_items[]</definedName>
    <definedName name="_xlcn.WorksheetConnection_Resource_data.xlsxTeachers_availability1" hidden="1">Teachers_availability[]</definedName>
    <definedName name="ExternalData_1" localSheetId="1" hidden="1">Book_details!$A$1:$G$31</definedName>
    <definedName name="ExternalData_1" localSheetId="2" hidden="1">Food_items!$A$1:$E$21</definedName>
    <definedName name="ExternalData_1" localSheetId="0" hidden="1">Teachers_availability!$A$1:$D$22</definedName>
    <definedName name="Slicer_Food_Items">#N/A</definedName>
    <definedName name="Slicer_Subject">#N/A</definedName>
    <definedName name="Slicer_Teacher___shortage__status">#N/A</definedName>
  </definedNames>
  <calcPr calcId="191028"/>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chers_availability" name="Teachers_availability" connection="WorksheetConnection_Resource_data.xlsx!Teachers_availability"/>
          <x15:modelTable id="Food_items" name="Food_items" connection="WorksheetConnection_Resource_data.xlsx!Food_items"/>
          <x15:modelTable id="Book_details" name="Book_details" connection="WorksheetConnection_Resource_data.xlsx!Book_detai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 l="1" a="1"/>
  <c r="E70" i="1" s="1"/>
  <c r="B3" i="1" a="1"/>
  <c r="B3" i="1" s="1"/>
  <c r="K36" i="1" a="1"/>
  <c r="K36" i="1" s="1"/>
  <c r="E60" i="1" a="1"/>
  <c r="E60" i="1" s="1"/>
  <c r="AA12" i="1" a="1"/>
  <c r="AA12" i="1" s="1"/>
  <c r="J27" i="1" a="1"/>
  <c r="J27" i="1" s="1"/>
  <c r="B71" i="1" a="1"/>
  <c r="B71" i="1" s="1"/>
  <c r="K66" i="1" a="1"/>
  <c r="K66" i="1" s="1"/>
  <c r="T49" i="4" a="1"/>
  <c r="T49" i="4" s="1"/>
  <c r="I37" i="4" a="1"/>
  <c r="I37" i="4" s="1"/>
  <c r="L49" i="4" a="1"/>
  <c r="L49" i="4" s="1"/>
  <c r="P49" i="4" a="1"/>
  <c r="P49" i="4" s="1"/>
  <c r="H61" i="1" a="1"/>
  <c r="H61" i="1" s="1"/>
  <c r="F39" i="1" a="1"/>
  <c r="F39" i="1" s="1"/>
  <c r="M52" i="1"/>
  <c r="L52" i="1"/>
  <c r="H2" i="4"/>
  <c r="H3" i="4"/>
  <c r="H4" i="4"/>
  <c r="H5" i="4"/>
  <c r="H6" i="4"/>
  <c r="H7" i="4"/>
  <c r="H8" i="4"/>
  <c r="H9" i="4"/>
  <c r="H10" i="4"/>
  <c r="H11" i="4"/>
  <c r="H12" i="4"/>
  <c r="H13" i="4"/>
  <c r="H14" i="4"/>
  <c r="H15" i="4"/>
  <c r="H16" i="4"/>
  <c r="H17" i="4"/>
  <c r="H18" i="4"/>
  <c r="H19" i="4"/>
  <c r="H20" i="4"/>
  <c r="H21" i="4"/>
  <c r="G2" i="4"/>
  <c r="G3" i="4"/>
  <c r="G4" i="4"/>
  <c r="G5" i="4"/>
  <c r="G6" i="4"/>
  <c r="G7" i="4"/>
  <c r="G8" i="4"/>
  <c r="G9" i="4"/>
  <c r="G10" i="4"/>
  <c r="G11" i="4"/>
  <c r="G12" i="4"/>
  <c r="G13" i="4"/>
  <c r="G14" i="4"/>
  <c r="G15" i="4"/>
  <c r="G16" i="4"/>
  <c r="G17" i="4"/>
  <c r="G18" i="4"/>
  <c r="G19" i="4"/>
  <c r="G20" i="4"/>
  <c r="G21" i="4"/>
  <c r="E2" i="2"/>
  <c r="E3" i="2"/>
  <c r="E4" i="2"/>
  <c r="E5" i="2"/>
  <c r="E6" i="2"/>
  <c r="E7" i="2"/>
  <c r="E8" i="2"/>
  <c r="E9" i="2"/>
  <c r="E10" i="2"/>
  <c r="E11" i="2"/>
  <c r="E12" i="2"/>
  <c r="E13" i="2"/>
  <c r="E14" i="2"/>
  <c r="E15" i="2"/>
  <c r="E16" i="2"/>
  <c r="E17" i="2"/>
  <c r="E18" i="2"/>
  <c r="E19" i="2"/>
  <c r="E20" i="2"/>
  <c r="E21" i="2"/>
  <c r="E22" i="2"/>
  <c r="F2" i="4"/>
  <c r="F3" i="4"/>
  <c r="F4" i="4"/>
  <c r="F5" i="4"/>
  <c r="F6" i="4"/>
  <c r="F7" i="4"/>
  <c r="F8" i="4"/>
  <c r="F9" i="4"/>
  <c r="F10" i="4"/>
  <c r="F11" i="4"/>
  <c r="F12" i="4"/>
  <c r="F13" i="4"/>
  <c r="F14" i="4"/>
  <c r="F15" i="4"/>
  <c r="F16" i="4"/>
  <c r="F17" i="4"/>
  <c r="F18" i="4"/>
  <c r="F19" i="4"/>
  <c r="F20" i="4"/>
  <c r="F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5D3C38-8BC1-4C36-BFB8-32C5879FD254}" keepAlive="1" name="Query - Book_details" description="Connection to the 'Book_details' query in the workbook." type="5" refreshedVersion="8" background="1" saveData="1">
    <dbPr connection="Provider=Microsoft.Mashup.OleDb.1;Data Source=$Workbook$;Location=Book_details;Extended Properties=&quot;&quot;" command="SELECT * FROM [Book_details]"/>
  </connection>
  <connection id="2" xr16:uid="{4A90C74F-2DA8-4719-8B39-9282F2740C15}" keepAlive="1" name="Query - Food_items" description="Connection to the 'Food_items' query in the workbook." type="5" refreshedVersion="8" background="1" saveData="1">
    <dbPr connection="Provider=Microsoft.Mashup.OleDb.1;Data Source=$Workbook$;Location=Food_items;Extended Properties=&quot;&quot;" command="SELECT * FROM [Food_items]"/>
  </connection>
  <connection id="3" xr16:uid="{55D54480-76F1-448D-9549-4E8BD18EC277}" keepAlive="1" name="Query - Teachers_availability" description="Connection to the 'Teachers_availability' query in the workbook." type="5" refreshedVersion="8" background="1" saveData="1">
    <dbPr connection="Provider=Microsoft.Mashup.OleDb.1;Data Source=$Workbook$;Location=Teachers_availability;Extended Properties=&quot;&quot;" command="SELECT * FROM [Teachers_availability]"/>
  </connection>
  <connection id="4" xr16:uid="{DC0A77A1-6533-4BFD-BCC6-802B5868B1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072BA5F-6A92-4F55-B65C-876BA0834251}" name="WorksheetConnection_Resource_data.xlsx!Book_details" type="102" refreshedVersion="8" minRefreshableVersion="5">
    <extLst>
      <ext xmlns:x15="http://schemas.microsoft.com/office/spreadsheetml/2010/11/main" uri="{DE250136-89BD-433C-8126-D09CA5730AF9}">
        <x15:connection id="Book_details" autoDelete="1">
          <x15:rangePr sourceName="_xlcn.WorksheetConnection_Resource_data.xlsxBook_details1"/>
        </x15:connection>
      </ext>
    </extLst>
  </connection>
  <connection id="6" xr16:uid="{09E0AFD9-0EB1-4DEE-A2A6-3B76B8E8C023}" name="WorksheetConnection_Resource_data.xlsx!Food_items" type="102" refreshedVersion="8" minRefreshableVersion="5">
    <extLst>
      <ext xmlns:x15="http://schemas.microsoft.com/office/spreadsheetml/2010/11/main" uri="{DE250136-89BD-433C-8126-D09CA5730AF9}">
        <x15:connection id="Food_items" autoDelete="1">
          <x15:rangePr sourceName="_xlcn.WorksheetConnection_Resource_data.xlsxFood_items1"/>
        </x15:connection>
      </ext>
    </extLst>
  </connection>
  <connection id="7" xr16:uid="{E08A6987-C7C6-4DD9-85CB-44611AF5E5B1}" name="WorksheetConnection_Resource_data.xlsx!Teachers_availability" type="102" refreshedVersion="8" minRefreshableVersion="5">
    <extLst>
      <ext xmlns:x15="http://schemas.microsoft.com/office/spreadsheetml/2010/11/main" uri="{DE250136-89BD-433C-8126-D09CA5730AF9}">
        <x15:connection id="Teachers_availability" autoDelete="1">
          <x15:rangePr sourceName="_xlcn.WorksheetConnection_Resource_data.xlsxTeachers_availabilit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<sst xmlns="http://schemas.openxmlformats.org/spreadsheetml/2006/main" count="525" uniqueCount="198">
  <si>
    <t>Title</t>
  </si>
  <si>
    <t>Teachers Required</t>
  </si>
  <si>
    <t>Teachers Assigned</t>
  </si>
  <si>
    <t>Teacher Needed</t>
  </si>
  <si>
    <t>Physics</t>
  </si>
  <si>
    <t>Chemistry</t>
  </si>
  <si>
    <t>Math</t>
  </si>
  <si>
    <t>Biology</t>
  </si>
  <si>
    <t>English</t>
  </si>
  <si>
    <t>History</t>
  </si>
  <si>
    <t>Computer</t>
  </si>
  <si>
    <t>Hindi</t>
  </si>
  <si>
    <t>Geography</t>
  </si>
  <si>
    <t>Civics</t>
  </si>
  <si>
    <t>Economics</t>
  </si>
  <si>
    <t>Art</t>
  </si>
  <si>
    <t>Physical Education</t>
  </si>
  <si>
    <t>Environmental Science</t>
  </si>
  <si>
    <t>Music</t>
  </si>
  <si>
    <t>Dance</t>
  </si>
  <si>
    <t>Sanskrit</t>
  </si>
  <si>
    <t>Psychology</t>
  </si>
  <si>
    <t>Accountancy</t>
  </si>
  <si>
    <t>Business Studies</t>
  </si>
  <si>
    <t>Current affaris</t>
  </si>
  <si>
    <t>Books</t>
  </si>
  <si>
    <t>Book ID</t>
  </si>
  <si>
    <t>Author</t>
  </si>
  <si>
    <t>Subject</t>
  </si>
  <si>
    <t>Status</t>
  </si>
  <si>
    <t>Books Available</t>
  </si>
  <si>
    <t>Books Needed</t>
  </si>
  <si>
    <t>Concepts of Physics</t>
  </si>
  <si>
    <t>B000</t>
  </si>
  <si>
    <t>H.C. Verma</t>
  </si>
  <si>
    <t>Issued</t>
  </si>
  <si>
    <t>NCERT Biology Class 12</t>
  </si>
  <si>
    <t>B002</t>
  </si>
  <si>
    <t>NCERT</t>
  </si>
  <si>
    <t>Advanced Mathematics</t>
  </si>
  <si>
    <t>B003</t>
  </si>
  <si>
    <t>R.D. Sharma</t>
  </si>
  <si>
    <t>Available</t>
  </si>
  <si>
    <t>English Grammar and Composition</t>
  </si>
  <si>
    <t>B004</t>
  </si>
  <si>
    <t>Wren &amp; Martin</t>
  </si>
  <si>
    <t>Modern History of India</t>
  </si>
  <si>
    <t>B005</t>
  </si>
  <si>
    <t>Bipan Chandra</t>
  </si>
  <si>
    <t>Fundamentals of Computer</t>
  </si>
  <si>
    <t>B006</t>
  </si>
  <si>
    <t>P.K. Sinha</t>
  </si>
  <si>
    <t>Science Lab Manual</t>
  </si>
  <si>
    <t>B007</t>
  </si>
  <si>
    <t>Laxmi Publications</t>
  </si>
  <si>
    <t>Science</t>
  </si>
  <si>
    <t>Hindi Sahitya Sangrah</t>
  </si>
  <si>
    <t>B008</t>
  </si>
  <si>
    <t>Rajeev Sharma</t>
  </si>
  <si>
    <t>Geography Through Maps</t>
  </si>
  <si>
    <t>B009</t>
  </si>
  <si>
    <t>Kullar</t>
  </si>
  <si>
    <t>Chemistry Principles &amp; Applications</t>
  </si>
  <si>
    <t>B010</t>
  </si>
  <si>
    <t>O.P. Tandon</t>
  </si>
  <si>
    <t>Physics for Class 11</t>
  </si>
  <si>
    <t>B011</t>
  </si>
  <si>
    <t>Pradeep</t>
  </si>
  <si>
    <t>Inorganic Chemistry</t>
  </si>
  <si>
    <t>B012</t>
  </si>
  <si>
    <t>J.D. Lee</t>
  </si>
  <si>
    <t>Trigonometry Made Easy</t>
  </si>
  <si>
    <t>B013</t>
  </si>
  <si>
    <t>S.L. Loney</t>
  </si>
  <si>
    <t>Word Power Made Easy</t>
  </si>
  <si>
    <t>B014</t>
  </si>
  <si>
    <t>Norman Lewis</t>
  </si>
  <si>
    <t>Indian Polity</t>
  </si>
  <si>
    <t>B015</t>
  </si>
  <si>
    <t>M. Laxmikanth</t>
  </si>
  <si>
    <t>Organic Chemistry</t>
  </si>
  <si>
    <t>B016</t>
  </si>
  <si>
    <t>Morrison &amp; Boyd</t>
  </si>
  <si>
    <t>NCERT Physics Class 12</t>
  </si>
  <si>
    <t>B017</t>
  </si>
  <si>
    <t>Computer Applications Class 10</t>
  </si>
  <si>
    <t>B018</t>
  </si>
  <si>
    <t>Sumita Arora</t>
  </si>
  <si>
    <t>Environmental Studies</t>
  </si>
  <si>
    <t>B019</t>
  </si>
  <si>
    <t>K. S. Randhawa</t>
  </si>
  <si>
    <t>India’s Struggle for Independence</t>
  </si>
  <si>
    <t>B020</t>
  </si>
  <si>
    <t>High School English Grammar</t>
  </si>
  <si>
    <t>B021</t>
  </si>
  <si>
    <t>Advanced Problems in Mathematics</t>
  </si>
  <si>
    <t>B022</t>
  </si>
  <si>
    <t>Vikas Gupta</t>
  </si>
  <si>
    <t>Science Question Bank Class 9</t>
  </si>
  <si>
    <t>B023</t>
  </si>
  <si>
    <t>Oswal Publishers</t>
  </si>
  <si>
    <t>Fundamentals of Accounting</t>
  </si>
  <si>
    <t>B024</t>
  </si>
  <si>
    <t>T.S. Grewal</t>
  </si>
  <si>
    <t>Commerce</t>
  </si>
  <si>
    <t>A Brief History of Modern India</t>
  </si>
  <si>
    <t>B025</t>
  </si>
  <si>
    <t>Spectrum</t>
  </si>
  <si>
    <t>NCERT Geography Class 11</t>
  </si>
  <si>
    <t>B026</t>
  </si>
  <si>
    <t>An Introduction to Sociology</t>
  </si>
  <si>
    <t>B027</t>
  </si>
  <si>
    <t>C.N. Shankar Rao</t>
  </si>
  <si>
    <t>Sociology</t>
  </si>
  <si>
    <t>Hindi Vyakaran</t>
  </si>
  <si>
    <t>B028</t>
  </si>
  <si>
    <t>Dr. Vashishth</t>
  </si>
  <si>
    <t>Macroeconomics</t>
  </si>
  <si>
    <t>B029</t>
  </si>
  <si>
    <t>Dornbusch &amp; Fischer</t>
  </si>
  <si>
    <t>Objective Biology</t>
  </si>
  <si>
    <t>B030</t>
  </si>
  <si>
    <t>Trueman</t>
  </si>
  <si>
    <t>Food Items</t>
  </si>
  <si>
    <t>Total Quantity</t>
  </si>
  <si>
    <t>Available Quantity</t>
  </si>
  <si>
    <t>Minimum Threshold</t>
  </si>
  <si>
    <t>Last  Updated</t>
  </si>
  <si>
    <t>Rice</t>
  </si>
  <si>
    <t>100 kg</t>
  </si>
  <si>
    <t>Dal</t>
  </si>
  <si>
    <t>50 kg</t>
  </si>
  <si>
    <t>Oil</t>
  </si>
  <si>
    <t>30 litre</t>
  </si>
  <si>
    <t>Salt</t>
  </si>
  <si>
    <t>10 kg</t>
  </si>
  <si>
    <t>Vegetables</t>
  </si>
  <si>
    <t>40 kg</t>
  </si>
  <si>
    <t>Wheat Flour</t>
  </si>
  <si>
    <t>80 kg</t>
  </si>
  <si>
    <t>Sugar</t>
  </si>
  <si>
    <t>25 kg</t>
  </si>
  <si>
    <t>Milk</t>
  </si>
  <si>
    <t>60 litre</t>
  </si>
  <si>
    <t>Butter</t>
  </si>
  <si>
    <t>Tea Leaves</t>
  </si>
  <si>
    <t>5 kg</t>
  </si>
  <si>
    <t>Spices</t>
  </si>
  <si>
    <t>8 kg</t>
  </si>
  <si>
    <t>Biscuits</t>
  </si>
  <si>
    <t>50 packs</t>
  </si>
  <si>
    <t>Fruits</t>
  </si>
  <si>
    <t>35 kg</t>
  </si>
  <si>
    <t>Onions</t>
  </si>
  <si>
    <t>45 kg</t>
  </si>
  <si>
    <t>Potatoes</t>
  </si>
  <si>
    <t>60 kg</t>
  </si>
  <si>
    <t>Tomatoes</t>
  </si>
  <si>
    <t>30 kg</t>
  </si>
  <si>
    <t>Green Peas</t>
  </si>
  <si>
    <t>Garlic</t>
  </si>
  <si>
    <t>Ginger</t>
  </si>
  <si>
    <t>4 kg</t>
  </si>
  <si>
    <t>Chillies</t>
  </si>
  <si>
    <t>6 kg</t>
  </si>
  <si>
    <t>Grand Total</t>
  </si>
  <si>
    <t>Sum of Teachers Assigned</t>
  </si>
  <si>
    <t>Count of Books</t>
  </si>
  <si>
    <t>Sum of Teacher Needed</t>
  </si>
  <si>
    <t>Sum of Teachers Required</t>
  </si>
  <si>
    <t>Row Labels</t>
  </si>
  <si>
    <t>Sum of Books Available</t>
  </si>
  <si>
    <t>Sum of Books Needed</t>
  </si>
  <si>
    <t>Column Labels</t>
  </si>
  <si>
    <t>Count of Food Items</t>
  </si>
  <si>
    <t>Sum of Available Quantity</t>
  </si>
  <si>
    <t>Sum of Minimum Threshold</t>
  </si>
  <si>
    <t>Last Updated Summary</t>
  </si>
  <si>
    <t>Available Quantity per Food item</t>
  </si>
  <si>
    <t>Teacher   shortage  status</t>
  </si>
  <si>
    <t>Reodered Needed</t>
  </si>
  <si>
    <t>Reoder Quantity</t>
  </si>
  <si>
    <t>Below Minimum</t>
  </si>
  <si>
    <t>OK</t>
  </si>
  <si>
    <t>x=0</t>
  </si>
  <si>
    <t>y=1</t>
  </si>
  <si>
    <t>stock status</t>
  </si>
  <si>
    <t>Sum of Reoder Quantity</t>
  </si>
  <si>
    <t xml:space="preserve">Available </t>
  </si>
  <si>
    <t>x</t>
  </si>
  <si>
    <t>y</t>
  </si>
  <si>
    <t>Avaliable Quantity by food item</t>
  </si>
  <si>
    <t>Yes</t>
  </si>
  <si>
    <t>Shortage</t>
  </si>
  <si>
    <t>Sufficient</t>
  </si>
  <si>
    <t>Count of Teacher   shortage  status</t>
  </si>
  <si>
    <t>Formula1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</si>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</sst>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06244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center"/>
    </xf>
    <xf numFmtId="9" fontId="0" fillId="0" borderId="0" xfId="1" applyFont="1"/>
    <xf numFmtId="9" fontId="0" fillId="0" borderId="0" xfId="0" applyNumberFormat="1"/>
    <xf numFmtId="0" fontId="0" fillId="2" borderId="0" xfId="0" applyFill="1"/>
    <xf numFmtId="0" fontId="1" fillId="0" borderId="0" xfId="0" applyFont="1" applyAlignment="1">
      <alignment horizontal="center"/>
    </xf>
  </cellXfs>
  <cellStyles count="2">
    <cellStyle name="Normal" xfId="0" builtinId="0"/>
    <cellStyle name="Percent" xfId="1" builtinId="5"/>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00CC00"/>
      <color rgb="FFFF3300"/>
      <color rgb="FFFF9933"/>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[Resource_data Iship.xlsx]Food_items!PivotTable3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Food_items!$Q$22</c:f>
              <c:strCache>
                <c:ptCount val="1"/>
                <c:pt idx="0">
                  <c:v>Total</c:v>
                </c:pt>
              </c:strCache>
            </c:strRef>
          </c:tx>
          <c:spPr>
            <a:solidFill>
              <a:schemeClr val="accent1"/>
            </a:solidFill>
            <a:ln>
              <a:noFill/>
            </a:ln>
            <a:effectLst/>
          </c:spPr>
          <c:invertIfNegative val="0"/>
          <c:cat>
            <c:strRef>
              <c:f>Food_items!$P$23:$P$43</c:f>
              <c:strCache>
                <c:ptCount val="20"/>
                <c:pt idx="0">
                  <c:v>Biscuits</c:v>
                </c:pt>
                <c:pt idx="1">
                  <c:v>Butter</c:v>
                </c:pt>
                <c:pt idx="2">
                  <c:v>Chillies</c:v>
                </c:pt>
                <c:pt idx="3">
                  <c:v>Dal</c:v>
                </c:pt>
                <c:pt idx="4">
                  <c:v>Fruits</c:v>
                </c:pt>
                <c:pt idx="5">
                  <c:v>Garlic</c:v>
                </c:pt>
                <c:pt idx="6">
                  <c:v>Ginger</c:v>
                </c:pt>
                <c:pt idx="7">
                  <c:v>Green Peas</c:v>
                </c:pt>
                <c:pt idx="8">
                  <c:v>Milk</c:v>
                </c:pt>
                <c:pt idx="9">
                  <c:v>Oil</c:v>
                </c:pt>
                <c:pt idx="10">
                  <c:v>Onions</c:v>
                </c:pt>
                <c:pt idx="11">
                  <c:v>Potatoes</c:v>
                </c:pt>
                <c:pt idx="12">
                  <c:v>Rice</c:v>
                </c:pt>
                <c:pt idx="13">
                  <c:v>Salt</c:v>
                </c:pt>
                <c:pt idx="14">
                  <c:v>Spices</c:v>
                </c:pt>
                <c:pt idx="15">
                  <c:v>Sugar</c:v>
                </c:pt>
                <c:pt idx="16">
                  <c:v>Tea Leaves</c:v>
                </c:pt>
                <c:pt idx="17">
                  <c:v>Tomatoes</c:v>
                </c:pt>
                <c:pt idx="18">
                  <c:v>Vegetables</c:v>
                </c:pt>
                <c:pt idx="19">
                  <c:v>Wheat Flour</c:v>
                </c:pt>
              </c:strCache>
            </c:strRef>
          </c:cat>
          <c:val>
            <c:numRef>
              <c:f>Food_items!$Q$23:$Q$43</c:f>
              <c:numCache>
                <c:formatCode>General</c:formatCode>
                <c:ptCount val="20"/>
                <c:pt idx="0">
                  <c:v>20</c:v>
                </c:pt>
                <c:pt idx="1">
                  <c:v>3</c:v>
                </c:pt>
                <c:pt idx="2">
                  <c:v>4</c:v>
                </c:pt>
                <c:pt idx="3">
                  <c:v>25</c:v>
                </c:pt>
                <c:pt idx="4">
                  <c:v>10</c:v>
                </c:pt>
                <c:pt idx="5">
                  <c:v>3</c:v>
                </c:pt>
                <c:pt idx="6">
                  <c:v>1</c:v>
                </c:pt>
                <c:pt idx="7">
                  <c:v>13</c:v>
                </c:pt>
                <c:pt idx="8">
                  <c:v>40</c:v>
                </c:pt>
                <c:pt idx="9">
                  <c:v>5</c:v>
                </c:pt>
                <c:pt idx="10">
                  <c:v>12</c:v>
                </c:pt>
                <c:pt idx="11">
                  <c:v>8</c:v>
                </c:pt>
                <c:pt idx="12">
                  <c:v>15</c:v>
                </c:pt>
                <c:pt idx="13">
                  <c:v>7</c:v>
                </c:pt>
                <c:pt idx="14">
                  <c:v>4</c:v>
                </c:pt>
                <c:pt idx="15">
                  <c:v>12</c:v>
                </c:pt>
                <c:pt idx="16">
                  <c:v>2</c:v>
                </c:pt>
                <c:pt idx="17">
                  <c:v>6</c:v>
                </c:pt>
                <c:pt idx="18">
                  <c:v>18</c:v>
                </c:pt>
                <c:pt idx="19">
                  <c:v>22</c:v>
                </c:pt>
              </c:numCache>
            </c:numRef>
          </c:val>
          <c:extLst>
            <c:ext xmlns:c16="http://schemas.microsoft.com/office/drawing/2014/chart" uri="{C3380CC4-5D6E-409C-BE32-E72D297353CC}">
              <c16:uniqueId val="{00000000-69CE-4A5E-8C97-77BB119D796A}"/>
            </c:ext>
          </c:extLst>
        </c:ser>
        <c:dLbls>
          <c:showLegendKey val="0"/>
          <c:showVal val="0"/>
          <c:showCatName val="0"/>
          <c:showSerName val="0"/>
          <c:showPercent val="0"/>
          <c:showBubbleSize val="0"/>
        </c:dLbls>
        <c:gapWidth val="150"/>
        <c:overlap val="100"/>
        <c:axId val="1106593648"/>
        <c:axId val="1106596888"/>
      </c:barChart>
      <c:catAx>
        <c:axId val="110659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96888"/>
        <c:crosses val="autoZero"/>
        <c:auto val="1"/>
        <c:lblAlgn val="ctr"/>
        <c:lblOffset val="100"/>
        <c:noMultiLvlLbl val="0"/>
      </c:catAx>
      <c:valAx>
        <c:axId val="1106596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9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doughnutChart>
        <c:varyColors val="1"/>
        <c:ser>
          <c:idx val="0"/>
          <c:order val="0"/>
          <c:dPt>
            <c:idx val="0"/>
            <c:bubble3D val="0"/>
            <c:spPr>
              <a:solidFill>
                <a:schemeClr val="accent5">
                  <a:lumMod val="60000"/>
                  <a:lumOff val="40000"/>
                </a:schemeClr>
              </a:solidFill>
              <a:ln>
                <a:noFill/>
              </a:ln>
              <a:effectLst/>
            </c:spPr>
            <c:extLst>
              <c:ext xmlns:c16="http://schemas.microsoft.com/office/drawing/2014/chart" uri="{C3380CC4-5D6E-409C-BE32-E72D297353CC}">
                <c16:uniqueId val="{00000001-6FE4-4251-AB60-AAE9812621E8}"/>
              </c:ext>
            </c:extLst>
          </c:dPt>
          <c:dPt>
            <c:idx val="1"/>
            <c:bubble3D val="0"/>
            <c:spPr>
              <a:solidFill>
                <a:schemeClr val="bg1">
                  <a:lumMod val="75000"/>
                </a:schemeClr>
              </a:solidFill>
              <a:ln>
                <a:noFill/>
              </a:ln>
              <a:effectLst/>
            </c:spPr>
            <c:extLst>
              <c:ext xmlns:c16="http://schemas.microsoft.com/office/drawing/2014/chart" uri="{C3380CC4-5D6E-409C-BE32-E72D297353CC}">
                <c16:uniqueId val="{00000003-6FE4-4251-AB60-AAE9812621E8}"/>
              </c:ext>
            </c:extLst>
          </c:dPt>
          <c:val>
            <c:numRef>
              <c:f>'Pivot tables'!$K$54:$K$55</c:f>
              <c:numCache>
                <c:formatCode>0%</c:formatCode>
                <c:ptCount val="2"/>
                <c:pt idx="0">
                  <c:v>0.6</c:v>
                </c:pt>
                <c:pt idx="1">
                  <c:v>0.4</c:v>
                </c:pt>
              </c:numCache>
            </c:numRef>
          </c:val>
          <c:extLst>
            <c:ext xmlns:c16="http://schemas.microsoft.com/office/drawing/2014/chart" uri="{C3380CC4-5D6E-409C-BE32-E72D297353CC}">
              <c16:uniqueId val="{00000000-6A51-4E4B-BD10-946FBC17AEE0}"/>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2"/>
          <c:order val="1"/>
          <c:spPr>
            <a:ln w="25400" cap="rnd">
              <a:noFill/>
              <a:round/>
            </a:ln>
            <a:effectLst/>
          </c:spPr>
          <c:marker>
            <c:symbol val="circle"/>
            <c:size val="8"/>
            <c:spPr>
              <a:solidFill>
                <a:schemeClr val="accent3"/>
              </a:solidFill>
              <a:ln>
                <a:noFill/>
              </a:ln>
              <a:effectLst/>
            </c:spPr>
          </c:marker>
          <c:xVal>
            <c:numRef>
              <c:f>'Pivot tables'!$L$52:$L$53</c:f>
              <c:numCache>
                <c:formatCode>General</c:formatCode>
                <c:ptCount val="2"/>
                <c:pt idx="0">
                  <c:v>-0.58778525229247303</c:v>
                </c:pt>
                <c:pt idx="1">
                  <c:v>0</c:v>
                </c:pt>
              </c:numCache>
            </c:numRef>
          </c:xVal>
          <c:yVal>
            <c:numRef>
              <c:f>'Pivot tables'!$M$52:$M$53</c:f>
              <c:numCache>
                <c:formatCode>General</c:formatCode>
                <c:ptCount val="2"/>
                <c:pt idx="0">
                  <c:v>0.30901699437494745</c:v>
                </c:pt>
                <c:pt idx="1">
                  <c:v>1</c:v>
                </c:pt>
              </c:numCache>
            </c:numRef>
          </c:yVal>
          <c:smooth val="0"/>
          <c:extLst>
            <c:ext xmlns:c16="http://schemas.microsoft.com/office/drawing/2014/chart" uri="{C3380CC4-5D6E-409C-BE32-E72D297353CC}">
              <c16:uniqueId val="{00000006-580F-4C03-9570-FFBF1FCBF9CB}"/>
            </c:ext>
          </c:extLst>
        </c:ser>
        <c:dLbls>
          <c:showLegendKey val="0"/>
          <c:showVal val="0"/>
          <c:showCatName val="0"/>
          <c:showSerName val="0"/>
          <c:showPercent val="0"/>
          <c:showBubbleSize val="0"/>
        </c:dLbls>
        <c:axId val="1346188767"/>
        <c:axId val="1346193087"/>
      </c:scatterChart>
      <c:valAx>
        <c:axId val="1346193087"/>
        <c:scaling>
          <c:orientation val="minMax"/>
          <c:max val="1.07"/>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88767"/>
        <c:crosses val="autoZero"/>
        <c:crossBetween val="midCat"/>
        <c:majorUnit val="1"/>
        <c:minorUnit val="1"/>
      </c:valAx>
      <c:valAx>
        <c:axId val="1346188767"/>
        <c:scaling>
          <c:orientation val="minMax"/>
          <c:max val="1"/>
          <c:min val="-1.100000000000000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93087"/>
        <c:crosses val="autoZero"/>
        <c:crossBetween val="midCat"/>
        <c:majorUnit val="1"/>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tables'!$C$71</c:f>
              <c:strCache>
                <c:ptCount val="1"/>
                <c:pt idx="0">
                  <c:v>Sum of Teachers Assigned</c:v>
                </c:pt>
              </c:strCache>
            </c:strRef>
          </c:tx>
          <c:spPr>
            <a:solidFill>
              <a:schemeClr val="accent1"/>
            </a:solidFill>
            <a:ln>
              <a:noFill/>
            </a:ln>
            <a:effectLst/>
          </c:spPr>
          <c:invertIfNegative val="0"/>
          <c:cat>
            <c:strRef>
              <c:f>'Pivot tables'!$B$72:$B$92</c:f>
              <c:strCache>
                <c:ptCount val="21"/>
                <c:pt idx="0">
                  <c:v>Accountancy</c:v>
                </c:pt>
                <c:pt idx="1">
                  <c:v>Art</c:v>
                </c:pt>
                <c:pt idx="2">
                  <c:v>Biology</c:v>
                </c:pt>
                <c:pt idx="3">
                  <c:v>Business Studies</c:v>
                </c:pt>
                <c:pt idx="4">
                  <c:v>Chemistry</c:v>
                </c:pt>
                <c:pt idx="5">
                  <c:v>Civics</c:v>
                </c:pt>
                <c:pt idx="6">
                  <c:v>Computer</c:v>
                </c:pt>
                <c:pt idx="7">
                  <c:v>Current affaris</c:v>
                </c:pt>
                <c:pt idx="8">
                  <c:v>Dance</c:v>
                </c:pt>
                <c:pt idx="9">
                  <c:v>Economics</c:v>
                </c:pt>
                <c:pt idx="10">
                  <c:v>English</c:v>
                </c:pt>
                <c:pt idx="11">
                  <c:v>Environmental Science</c:v>
                </c:pt>
                <c:pt idx="12">
                  <c:v>Geography</c:v>
                </c:pt>
                <c:pt idx="13">
                  <c:v>Hindi</c:v>
                </c:pt>
                <c:pt idx="14">
                  <c:v>History</c:v>
                </c:pt>
                <c:pt idx="15">
                  <c:v>Math</c:v>
                </c:pt>
                <c:pt idx="16">
                  <c:v>Music</c:v>
                </c:pt>
                <c:pt idx="17">
                  <c:v>Physical Education</c:v>
                </c:pt>
                <c:pt idx="18">
                  <c:v>Physics</c:v>
                </c:pt>
                <c:pt idx="19">
                  <c:v>Psychology</c:v>
                </c:pt>
                <c:pt idx="20">
                  <c:v>Sanskrit</c:v>
                </c:pt>
              </c:strCache>
            </c:strRef>
          </c:cat>
          <c:val>
            <c:numRef>
              <c:f>'Pivot tables'!$C$72:$C$92</c:f>
              <c:numCache>
                <c:formatCode>General</c:formatCode>
                <c:ptCount val="21"/>
                <c:pt idx="0">
                  <c:v>1</c:v>
                </c:pt>
                <c:pt idx="1">
                  <c:v>1</c:v>
                </c:pt>
                <c:pt idx="2">
                  <c:v>1</c:v>
                </c:pt>
                <c:pt idx="3">
                  <c:v>2</c:v>
                </c:pt>
                <c:pt idx="4">
                  <c:v>2</c:v>
                </c:pt>
                <c:pt idx="5">
                  <c:v>0</c:v>
                </c:pt>
                <c:pt idx="6">
                  <c:v>1</c:v>
                </c:pt>
                <c:pt idx="7">
                  <c:v>2</c:v>
                </c:pt>
                <c:pt idx="8">
                  <c:v>0</c:v>
                </c:pt>
                <c:pt idx="9">
                  <c:v>1</c:v>
                </c:pt>
                <c:pt idx="10">
                  <c:v>2</c:v>
                </c:pt>
                <c:pt idx="11">
                  <c:v>1</c:v>
                </c:pt>
                <c:pt idx="12">
                  <c:v>1</c:v>
                </c:pt>
                <c:pt idx="13">
                  <c:v>1</c:v>
                </c:pt>
                <c:pt idx="14">
                  <c:v>1</c:v>
                </c:pt>
                <c:pt idx="15">
                  <c:v>2</c:v>
                </c:pt>
                <c:pt idx="16">
                  <c:v>0</c:v>
                </c:pt>
                <c:pt idx="17">
                  <c:v>2</c:v>
                </c:pt>
                <c:pt idx="18">
                  <c:v>1</c:v>
                </c:pt>
                <c:pt idx="19">
                  <c:v>1</c:v>
                </c:pt>
                <c:pt idx="20">
                  <c:v>1</c:v>
                </c:pt>
              </c:numCache>
            </c:numRef>
          </c:val>
          <c:extLst>
            <c:ext xmlns:c16="http://schemas.microsoft.com/office/drawing/2014/chart" uri="{C3380CC4-5D6E-409C-BE32-E72D297353CC}">
              <c16:uniqueId val="{00000000-EA55-44DE-9578-737954B77C9F}"/>
            </c:ext>
          </c:extLst>
        </c:ser>
        <c:ser>
          <c:idx val="1"/>
          <c:order val="1"/>
          <c:tx>
            <c:strRef>
              <c:f>'Pivot tables'!$D$71</c:f>
              <c:strCache>
                <c:ptCount val="1"/>
                <c:pt idx="0">
                  <c:v>Sum of Teacher Needed</c:v>
                </c:pt>
              </c:strCache>
            </c:strRef>
          </c:tx>
          <c:spPr>
            <a:solidFill>
              <a:schemeClr val="accent2"/>
            </a:solidFill>
            <a:ln>
              <a:noFill/>
            </a:ln>
            <a:effectLst/>
          </c:spPr>
          <c:invertIfNegative val="0"/>
          <c:cat>
            <c:strRef>
              <c:f>'Pivot tables'!$B$72:$B$92</c:f>
              <c:strCache>
                <c:ptCount val="21"/>
                <c:pt idx="0">
                  <c:v>Accountancy</c:v>
                </c:pt>
                <c:pt idx="1">
                  <c:v>Art</c:v>
                </c:pt>
                <c:pt idx="2">
                  <c:v>Biology</c:v>
                </c:pt>
                <c:pt idx="3">
                  <c:v>Business Studies</c:v>
                </c:pt>
                <c:pt idx="4">
                  <c:v>Chemistry</c:v>
                </c:pt>
                <c:pt idx="5">
                  <c:v>Civics</c:v>
                </c:pt>
                <c:pt idx="6">
                  <c:v>Computer</c:v>
                </c:pt>
                <c:pt idx="7">
                  <c:v>Current affaris</c:v>
                </c:pt>
                <c:pt idx="8">
                  <c:v>Dance</c:v>
                </c:pt>
                <c:pt idx="9">
                  <c:v>Economics</c:v>
                </c:pt>
                <c:pt idx="10">
                  <c:v>English</c:v>
                </c:pt>
                <c:pt idx="11">
                  <c:v>Environmental Science</c:v>
                </c:pt>
                <c:pt idx="12">
                  <c:v>Geography</c:v>
                </c:pt>
                <c:pt idx="13">
                  <c:v>Hindi</c:v>
                </c:pt>
                <c:pt idx="14">
                  <c:v>History</c:v>
                </c:pt>
                <c:pt idx="15">
                  <c:v>Math</c:v>
                </c:pt>
                <c:pt idx="16">
                  <c:v>Music</c:v>
                </c:pt>
                <c:pt idx="17">
                  <c:v>Physical Education</c:v>
                </c:pt>
                <c:pt idx="18">
                  <c:v>Physics</c:v>
                </c:pt>
                <c:pt idx="19">
                  <c:v>Psychology</c:v>
                </c:pt>
                <c:pt idx="20">
                  <c:v>Sanskrit</c:v>
                </c:pt>
              </c:strCache>
            </c:strRef>
          </c:cat>
          <c:val>
            <c:numRef>
              <c:f>'Pivot tables'!$D$72:$D$92</c:f>
              <c:numCache>
                <c:formatCode>General</c:formatCode>
                <c:ptCount val="21"/>
                <c:pt idx="0">
                  <c:v>1</c:v>
                </c:pt>
                <c:pt idx="1">
                  <c:v>0</c:v>
                </c:pt>
                <c:pt idx="2">
                  <c:v>1</c:v>
                </c:pt>
                <c:pt idx="3">
                  <c:v>0</c:v>
                </c:pt>
                <c:pt idx="4">
                  <c:v>0</c:v>
                </c:pt>
                <c:pt idx="5">
                  <c:v>1</c:v>
                </c:pt>
                <c:pt idx="6">
                  <c:v>1</c:v>
                </c:pt>
                <c:pt idx="7">
                  <c:v>2</c:v>
                </c:pt>
                <c:pt idx="8">
                  <c:v>1</c:v>
                </c:pt>
                <c:pt idx="9">
                  <c:v>0</c:v>
                </c:pt>
                <c:pt idx="10">
                  <c:v>0</c:v>
                </c:pt>
                <c:pt idx="11">
                  <c:v>0</c:v>
                </c:pt>
                <c:pt idx="12">
                  <c:v>0</c:v>
                </c:pt>
                <c:pt idx="13">
                  <c:v>0</c:v>
                </c:pt>
                <c:pt idx="14">
                  <c:v>0</c:v>
                </c:pt>
                <c:pt idx="15">
                  <c:v>1</c:v>
                </c:pt>
                <c:pt idx="16">
                  <c:v>1</c:v>
                </c:pt>
                <c:pt idx="17">
                  <c:v>0</c:v>
                </c:pt>
                <c:pt idx="18">
                  <c:v>2</c:v>
                </c:pt>
                <c:pt idx="19">
                  <c:v>0</c:v>
                </c:pt>
                <c:pt idx="20">
                  <c:v>0</c:v>
                </c:pt>
              </c:numCache>
            </c:numRef>
          </c:val>
          <c:extLst>
            <c:ext xmlns:c16="http://schemas.microsoft.com/office/drawing/2014/chart" uri="{C3380CC4-5D6E-409C-BE32-E72D297353CC}">
              <c16:uniqueId val="{00000001-EA55-44DE-9578-737954B77C9F}"/>
            </c:ext>
          </c:extLst>
        </c:ser>
        <c:dLbls>
          <c:showLegendKey val="0"/>
          <c:showVal val="0"/>
          <c:showCatName val="0"/>
          <c:showSerName val="0"/>
          <c:showPercent val="0"/>
          <c:showBubbleSize val="0"/>
        </c:dLbls>
        <c:gapWidth val="219"/>
        <c:overlap val="-27"/>
        <c:axId val="982196192"/>
        <c:axId val="982196672"/>
      </c:barChart>
      <c:catAx>
        <c:axId val="98219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96672"/>
        <c:crosses val="autoZero"/>
        <c:auto val="1"/>
        <c:lblAlgn val="ctr"/>
        <c:lblOffset val="100"/>
        <c:noMultiLvlLbl val="0"/>
      </c:catAx>
      <c:valAx>
        <c:axId val="982196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9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tables'!$G$39</c:f>
              <c:strCache>
                <c:ptCount val="1"/>
                <c:pt idx="0">
                  <c:v>Count of Books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1AC-42C9-BCC1-B0D14D8A478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1AC-42C9-BCC1-B0D14D8A478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1AC-42C9-BCC1-B0D14D8A478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1AC-42C9-BCC1-B0D14D8A478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1AC-42C9-BCC1-B0D14D8A4786}"/>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1AC-42C9-BCC1-B0D14D8A4786}"/>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1AC-42C9-BCC1-B0D14D8A4786}"/>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1AC-42C9-BCC1-B0D14D8A4786}"/>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1AC-42C9-BCC1-B0D14D8A4786}"/>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31AC-42C9-BCC1-B0D14D8A4786}"/>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31AC-42C9-BCC1-B0D14D8A4786}"/>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31AC-42C9-BCC1-B0D14D8A4786}"/>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31AC-42C9-BCC1-B0D14D8A4786}"/>
              </c:ext>
            </c:extLst>
          </c:dPt>
          <c:dPt>
            <c:idx val="13"/>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31AC-42C9-BCC1-B0D14D8A47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31AC-42C9-BCC1-B0D14D8A47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31AC-42C9-BCC1-B0D14D8A47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31AC-42C9-BCC1-B0D14D8A47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31AC-42C9-BCC1-B0D14D8A47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31AC-42C9-BCC1-B0D14D8A47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31AC-42C9-BCC1-B0D14D8A47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31AC-42C9-BCC1-B0D14D8A478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31AC-42C9-BCC1-B0D14D8A478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31AC-42C9-BCC1-B0D14D8A478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31AC-42C9-BCC1-B0D14D8A478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31AC-42C9-BCC1-B0D14D8A478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31AC-42C9-BCC1-B0D14D8A478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31AC-42C9-BCC1-B0D14D8A478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31AC-42C9-BCC1-B0D14D8A478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tables'!$F$40:$F$53</c:f>
              <c:strCache>
                <c:ptCount val="14"/>
                <c:pt idx="0">
                  <c:v>Biology</c:v>
                </c:pt>
                <c:pt idx="1">
                  <c:v>Chemistry</c:v>
                </c:pt>
                <c:pt idx="2">
                  <c:v>Civics</c:v>
                </c:pt>
                <c:pt idx="3">
                  <c:v>Commerce</c:v>
                </c:pt>
                <c:pt idx="4">
                  <c:v>Computer</c:v>
                </c:pt>
                <c:pt idx="5">
                  <c:v>Economics</c:v>
                </c:pt>
                <c:pt idx="6">
                  <c:v>English</c:v>
                </c:pt>
                <c:pt idx="7">
                  <c:v>Geography</c:v>
                </c:pt>
                <c:pt idx="8">
                  <c:v>Hindi</c:v>
                </c:pt>
                <c:pt idx="9">
                  <c:v>History</c:v>
                </c:pt>
                <c:pt idx="10">
                  <c:v>Math</c:v>
                </c:pt>
                <c:pt idx="11">
                  <c:v>Physics</c:v>
                </c:pt>
                <c:pt idx="12">
                  <c:v>Science</c:v>
                </c:pt>
                <c:pt idx="13">
                  <c:v>Sociology</c:v>
                </c:pt>
              </c:strCache>
            </c:strRef>
          </c:cat>
          <c:val>
            <c:numRef>
              <c:f>'Pivot tables'!$G$40:$G$53</c:f>
              <c:numCache>
                <c:formatCode>General</c:formatCode>
                <c:ptCount val="14"/>
                <c:pt idx="0">
                  <c:v>2</c:v>
                </c:pt>
                <c:pt idx="1">
                  <c:v>3</c:v>
                </c:pt>
                <c:pt idx="2">
                  <c:v>1</c:v>
                </c:pt>
                <c:pt idx="3">
                  <c:v>1</c:v>
                </c:pt>
                <c:pt idx="4">
                  <c:v>2</c:v>
                </c:pt>
                <c:pt idx="5">
                  <c:v>1</c:v>
                </c:pt>
                <c:pt idx="6">
                  <c:v>3</c:v>
                </c:pt>
                <c:pt idx="7">
                  <c:v>2</c:v>
                </c:pt>
                <c:pt idx="8">
                  <c:v>2</c:v>
                </c:pt>
                <c:pt idx="9">
                  <c:v>3</c:v>
                </c:pt>
                <c:pt idx="10">
                  <c:v>3</c:v>
                </c:pt>
                <c:pt idx="11">
                  <c:v>3</c:v>
                </c:pt>
                <c:pt idx="12">
                  <c:v>3</c:v>
                </c:pt>
                <c:pt idx="13">
                  <c:v>1</c:v>
                </c:pt>
              </c:numCache>
            </c:numRef>
          </c:val>
          <c:extLst>
            <c:ext xmlns:c16="http://schemas.microsoft.com/office/drawing/2014/chart" uri="{C3380CC4-5D6E-409C-BE32-E72D297353CC}">
              <c16:uniqueId val="{0000001C-31AC-42C9-BCC1-B0D14D8A478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Aharoni" panose="02010803020104030203" pitchFamily="2" charset="-79"/>
                <a:cs typeface="Aharoni" panose="02010803020104030203" pitchFamily="2" charset="-79"/>
              </a:rPr>
              <a:t>How</a:t>
            </a:r>
            <a:r>
              <a:rPr lang="en-IN" baseline="0">
                <a:latin typeface="Aharoni" panose="02010803020104030203" pitchFamily="2" charset="-79"/>
                <a:cs typeface="Aharoni" panose="02010803020104030203" pitchFamily="2" charset="-79"/>
              </a:rPr>
              <a:t> Many Books Available &amp; Issued</a:t>
            </a:r>
            <a:endParaRPr lang="en-IN">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3540792058816577"/>
          <c:y val="0.25180112731810161"/>
          <c:w val="0.35740406291715243"/>
          <c:h val="0.56598726388709608"/>
        </c:manualLayout>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87-440F-8E38-99D51CB696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87-440F-8E38-99D51CB696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tables'!$J$48:$J$49</c:f>
              <c:strCache>
                <c:ptCount val="2"/>
                <c:pt idx="0">
                  <c:v>Available</c:v>
                </c:pt>
                <c:pt idx="1">
                  <c:v>Issued</c:v>
                </c:pt>
              </c:strCache>
            </c:strRef>
          </c:cat>
          <c:val>
            <c:numRef>
              <c:f>'Pivot tables'!$K$48:$K$49</c:f>
              <c:numCache>
                <c:formatCode>General</c:formatCode>
                <c:ptCount val="2"/>
                <c:pt idx="0">
                  <c:v>18</c:v>
                </c:pt>
                <c:pt idx="1">
                  <c:v>12</c:v>
                </c:pt>
              </c:numCache>
            </c:numRef>
          </c:val>
          <c:extLst>
            <c:ext xmlns:c16="http://schemas.microsoft.com/office/drawing/2014/chart" uri="{C3380CC4-5D6E-409C-BE32-E72D297353CC}">
              <c16:uniqueId val="{00000004-2287-440F-8E38-99D51CB696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latin typeface="Aharoni" panose="02010803020104030203" pitchFamily="2" charset="-79"/>
                <a:cs typeface="Aharoni" panose="02010803020104030203" pitchFamily="2" charset="-79"/>
              </a:rPr>
              <a:t>Sum</a:t>
            </a:r>
            <a:r>
              <a:rPr lang="en-IN" baseline="0">
                <a:solidFill>
                  <a:schemeClr val="bg1"/>
                </a:solidFill>
                <a:latin typeface="Aharoni" panose="02010803020104030203" pitchFamily="2" charset="-79"/>
                <a:cs typeface="Aharoni" panose="02010803020104030203" pitchFamily="2" charset="-79"/>
              </a:rPr>
              <a:t> of Books Available &amp; Needed</a:t>
            </a:r>
            <a:endParaRPr lang="en-IN">
              <a:solidFill>
                <a:schemeClr val="bg1"/>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6.2383903473443685E-2"/>
          <c:y val="0.17116040955631398"/>
          <c:w val="0.87846508747993135"/>
          <c:h val="0.45797434450386537"/>
        </c:manualLayout>
      </c:layout>
      <c:barChart>
        <c:barDir val="col"/>
        <c:grouping val="clustered"/>
        <c:varyColors val="0"/>
        <c:ser>
          <c:idx val="0"/>
          <c:order val="0"/>
          <c:tx>
            <c:strRef>
              <c:f>'Pivot tables'!$AB$12</c:f>
              <c:strCache>
                <c:ptCount val="1"/>
                <c:pt idx="0">
                  <c:v>Sum of Books Available</c:v>
                </c:pt>
              </c:strCache>
            </c:strRef>
          </c:tx>
          <c:spPr>
            <a:solidFill>
              <a:srgbClr val="00B0F0"/>
            </a:solidFill>
            <a:ln>
              <a:noFill/>
            </a:ln>
            <a:effectLst/>
          </c:spPr>
          <c:invertIfNegative val="0"/>
          <c:cat>
            <c:strRef>
              <c:f>'Pivot tables'!$AA$13:$AA$26</c:f>
              <c:strCache>
                <c:ptCount val="14"/>
                <c:pt idx="0">
                  <c:v>Biology</c:v>
                </c:pt>
                <c:pt idx="1">
                  <c:v>Chemistry</c:v>
                </c:pt>
                <c:pt idx="2">
                  <c:v>Civics</c:v>
                </c:pt>
                <c:pt idx="3">
                  <c:v>Commerce</c:v>
                </c:pt>
                <c:pt idx="4">
                  <c:v>Computer</c:v>
                </c:pt>
                <c:pt idx="5">
                  <c:v>Economics</c:v>
                </c:pt>
                <c:pt idx="6">
                  <c:v>English</c:v>
                </c:pt>
                <c:pt idx="7">
                  <c:v>Geography</c:v>
                </c:pt>
                <c:pt idx="8">
                  <c:v>Hindi</c:v>
                </c:pt>
                <c:pt idx="9">
                  <c:v>History</c:v>
                </c:pt>
                <c:pt idx="10">
                  <c:v>Math</c:v>
                </c:pt>
                <c:pt idx="11">
                  <c:v>Physics</c:v>
                </c:pt>
                <c:pt idx="12">
                  <c:v>Science</c:v>
                </c:pt>
                <c:pt idx="13">
                  <c:v>Sociology</c:v>
                </c:pt>
              </c:strCache>
            </c:strRef>
          </c:cat>
          <c:val>
            <c:numRef>
              <c:f>'Pivot tables'!$AB$13:$AB$26</c:f>
              <c:numCache>
                <c:formatCode>General</c:formatCode>
                <c:ptCount val="14"/>
                <c:pt idx="0">
                  <c:v>7</c:v>
                </c:pt>
                <c:pt idx="1">
                  <c:v>12</c:v>
                </c:pt>
                <c:pt idx="2">
                  <c:v>1</c:v>
                </c:pt>
                <c:pt idx="3">
                  <c:v>1</c:v>
                </c:pt>
                <c:pt idx="4">
                  <c:v>5</c:v>
                </c:pt>
                <c:pt idx="5">
                  <c:v>1</c:v>
                </c:pt>
                <c:pt idx="6">
                  <c:v>5</c:v>
                </c:pt>
                <c:pt idx="7">
                  <c:v>6</c:v>
                </c:pt>
                <c:pt idx="8">
                  <c:v>2</c:v>
                </c:pt>
                <c:pt idx="9">
                  <c:v>3</c:v>
                </c:pt>
                <c:pt idx="10">
                  <c:v>11</c:v>
                </c:pt>
                <c:pt idx="11">
                  <c:v>12</c:v>
                </c:pt>
                <c:pt idx="12">
                  <c:v>6</c:v>
                </c:pt>
                <c:pt idx="13">
                  <c:v>2</c:v>
                </c:pt>
              </c:numCache>
            </c:numRef>
          </c:val>
          <c:extLst>
            <c:ext xmlns:c16="http://schemas.microsoft.com/office/drawing/2014/chart" uri="{C3380CC4-5D6E-409C-BE32-E72D297353CC}">
              <c16:uniqueId val="{00000000-9AF6-4369-B4F9-B3CEDEC7830E}"/>
            </c:ext>
          </c:extLst>
        </c:ser>
        <c:ser>
          <c:idx val="1"/>
          <c:order val="1"/>
          <c:tx>
            <c:strRef>
              <c:f>'Pivot tables'!$AC$12</c:f>
              <c:strCache>
                <c:ptCount val="1"/>
                <c:pt idx="0">
                  <c:v>Sum of Books Needed</c:v>
                </c:pt>
              </c:strCache>
            </c:strRef>
          </c:tx>
          <c:spPr>
            <a:solidFill>
              <a:srgbClr val="FF9933"/>
            </a:solidFill>
            <a:ln>
              <a:noFill/>
            </a:ln>
            <a:effectLst/>
          </c:spPr>
          <c:invertIfNegative val="0"/>
          <c:cat>
            <c:strRef>
              <c:f>'Pivot tables'!$AA$13:$AA$26</c:f>
              <c:strCache>
                <c:ptCount val="14"/>
                <c:pt idx="0">
                  <c:v>Biology</c:v>
                </c:pt>
                <c:pt idx="1">
                  <c:v>Chemistry</c:v>
                </c:pt>
                <c:pt idx="2">
                  <c:v>Civics</c:v>
                </c:pt>
                <c:pt idx="3">
                  <c:v>Commerce</c:v>
                </c:pt>
                <c:pt idx="4">
                  <c:v>Computer</c:v>
                </c:pt>
                <c:pt idx="5">
                  <c:v>Economics</c:v>
                </c:pt>
                <c:pt idx="6">
                  <c:v>English</c:v>
                </c:pt>
                <c:pt idx="7">
                  <c:v>Geography</c:v>
                </c:pt>
                <c:pt idx="8">
                  <c:v>Hindi</c:v>
                </c:pt>
                <c:pt idx="9">
                  <c:v>History</c:v>
                </c:pt>
                <c:pt idx="10">
                  <c:v>Math</c:v>
                </c:pt>
                <c:pt idx="11">
                  <c:v>Physics</c:v>
                </c:pt>
                <c:pt idx="12">
                  <c:v>Science</c:v>
                </c:pt>
                <c:pt idx="13">
                  <c:v>Sociology</c:v>
                </c:pt>
              </c:strCache>
            </c:strRef>
          </c:cat>
          <c:val>
            <c:numRef>
              <c:f>'Pivot tables'!$AC$13:$AC$26</c:f>
              <c:numCache>
                <c:formatCode>General</c:formatCode>
                <c:ptCount val="14"/>
                <c:pt idx="0">
                  <c:v>2</c:v>
                </c:pt>
                <c:pt idx="1">
                  <c:v>6</c:v>
                </c:pt>
                <c:pt idx="2">
                  <c:v>0</c:v>
                </c:pt>
                <c:pt idx="3">
                  <c:v>1</c:v>
                </c:pt>
                <c:pt idx="4">
                  <c:v>0</c:v>
                </c:pt>
                <c:pt idx="5">
                  <c:v>0</c:v>
                </c:pt>
                <c:pt idx="6">
                  <c:v>5</c:v>
                </c:pt>
                <c:pt idx="7">
                  <c:v>2</c:v>
                </c:pt>
                <c:pt idx="8">
                  <c:v>1</c:v>
                </c:pt>
                <c:pt idx="9">
                  <c:v>1</c:v>
                </c:pt>
                <c:pt idx="10">
                  <c:v>2</c:v>
                </c:pt>
                <c:pt idx="11">
                  <c:v>8</c:v>
                </c:pt>
                <c:pt idx="12">
                  <c:v>1</c:v>
                </c:pt>
                <c:pt idx="13">
                  <c:v>1</c:v>
                </c:pt>
              </c:numCache>
            </c:numRef>
          </c:val>
          <c:extLst>
            <c:ext xmlns:c16="http://schemas.microsoft.com/office/drawing/2014/chart" uri="{C3380CC4-5D6E-409C-BE32-E72D297353CC}">
              <c16:uniqueId val="{00000001-9AF6-4369-B4F9-B3CEDEC7830E}"/>
            </c:ext>
          </c:extLst>
        </c:ser>
        <c:dLbls>
          <c:showLegendKey val="0"/>
          <c:showVal val="0"/>
          <c:showCatName val="0"/>
          <c:showSerName val="0"/>
          <c:showPercent val="0"/>
          <c:showBubbleSize val="0"/>
        </c:dLbls>
        <c:gapWidth val="219"/>
        <c:overlap val="-27"/>
        <c:axId val="901072543"/>
        <c:axId val="901073983"/>
      </c:barChart>
      <c:catAx>
        <c:axId val="90107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073983"/>
        <c:crosses val="autoZero"/>
        <c:auto val="1"/>
        <c:lblAlgn val="ctr"/>
        <c:lblOffset val="100"/>
        <c:noMultiLvlLbl val="0"/>
      </c:catAx>
      <c:valAx>
        <c:axId val="901073983"/>
        <c:scaling>
          <c:orientation val="minMax"/>
        </c:scaling>
        <c:delete val="1"/>
        <c:axPos val="l"/>
        <c:numFmt formatCode="General" sourceLinked="1"/>
        <c:majorTickMark val="none"/>
        <c:minorTickMark val="none"/>
        <c:tickLblPos val="nextTo"/>
        <c:crossAx val="90107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778803271399504E-2"/>
          <c:y val="0.13314663449340747"/>
          <c:w val="0.92760510215609315"/>
          <c:h val="0.76100116204511559"/>
        </c:manualLayout>
      </c:layout>
      <c:pie3DChart>
        <c:varyColors val="1"/>
        <c:ser>
          <c:idx val="0"/>
          <c:order val="0"/>
          <c:tx>
            <c:strRef>
              <c:f>Food_items!$J$37</c:f>
              <c:strCache>
                <c:ptCount val="1"/>
                <c:pt idx="0">
                  <c:v>Count of Food Items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957-463B-9030-8444FF4F57AC}"/>
              </c:ext>
            </c:extLst>
          </c:dPt>
          <c:dPt>
            <c:idx val="1"/>
            <c:bubble3D val="0"/>
            <c:spPr>
              <a:solidFill>
                <a:srgbClr val="00CC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957-463B-9030-8444FF4F5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Food_items!$I$38:$I$39</c:f>
              <c:strCache>
                <c:ptCount val="2"/>
                <c:pt idx="0">
                  <c:v>Below Minimum</c:v>
                </c:pt>
                <c:pt idx="1">
                  <c:v>OK</c:v>
                </c:pt>
              </c:strCache>
            </c:strRef>
          </c:cat>
          <c:val>
            <c:numRef>
              <c:f>Food_items!$J$38:$J$39</c:f>
              <c:numCache>
                <c:formatCode>General</c:formatCode>
                <c:ptCount val="2"/>
                <c:pt idx="0">
                  <c:v>11</c:v>
                </c:pt>
                <c:pt idx="1">
                  <c:v>9</c:v>
                </c:pt>
              </c:numCache>
            </c:numRef>
          </c:val>
          <c:extLst>
            <c:ext xmlns:c16="http://schemas.microsoft.com/office/drawing/2014/chart" uri="{C3380CC4-5D6E-409C-BE32-E72D297353CC}">
              <c16:uniqueId val="{00000004-8957-463B-9030-8444FF4F57AC}"/>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latin typeface="Aharoni" panose="02010803020104030203" pitchFamily="2" charset="-79"/>
                <a:cs typeface="Aharoni" panose="02010803020104030203" pitchFamily="2" charset="-79"/>
              </a:rPr>
              <a:t>Sum of Reoder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Food_items!$M$49:$M$51</c:f>
              <c:strCache>
                <c:ptCount val="3"/>
                <c:pt idx="0">
                  <c:v>Yes</c:v>
                </c:pt>
                <c:pt idx="1">
                  <c:v>0</c:v>
                </c:pt>
                <c:pt idx="2">
                  <c:v>Sum of Reoder Quantity</c:v>
                </c:pt>
              </c:strCache>
            </c:strRef>
          </c:tx>
          <c:spPr>
            <a:solidFill>
              <a:schemeClr val="accent6">
                <a:lumMod val="60000"/>
                <a:lumOff val="4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Food_items!$L$52:$L$62</c:f>
              <c:strCache>
                <c:ptCount val="11"/>
                <c:pt idx="0">
                  <c:v>Butter</c:v>
                </c:pt>
                <c:pt idx="1">
                  <c:v>Fruits</c:v>
                </c:pt>
                <c:pt idx="2">
                  <c:v>Ginger</c:v>
                </c:pt>
                <c:pt idx="3">
                  <c:v>Oil</c:v>
                </c:pt>
                <c:pt idx="4">
                  <c:v>Onions</c:v>
                </c:pt>
                <c:pt idx="5">
                  <c:v>Potatoes</c:v>
                </c:pt>
                <c:pt idx="6">
                  <c:v>Rice</c:v>
                </c:pt>
                <c:pt idx="7">
                  <c:v>Spices</c:v>
                </c:pt>
                <c:pt idx="8">
                  <c:v>Tea Leaves</c:v>
                </c:pt>
                <c:pt idx="9">
                  <c:v>Tomatoes</c:v>
                </c:pt>
                <c:pt idx="10">
                  <c:v>Wheat Flour</c:v>
                </c:pt>
              </c:strCache>
            </c:strRef>
          </c:cat>
          <c:val>
            <c:numRef>
              <c:f>Food_items!$M$52:$M$62</c:f>
              <c:numCache>
                <c:formatCode>General</c:formatCode>
                <c:ptCount val="11"/>
                <c:pt idx="0">
                  <c:v>2</c:v>
                </c:pt>
                <c:pt idx="1">
                  <c:v>10</c:v>
                </c:pt>
                <c:pt idx="2">
                  <c:v>1</c:v>
                </c:pt>
                <c:pt idx="3">
                  <c:v>5</c:v>
                </c:pt>
                <c:pt idx="4">
                  <c:v>3</c:v>
                </c:pt>
                <c:pt idx="5">
                  <c:v>2</c:v>
                </c:pt>
                <c:pt idx="6">
                  <c:v>5</c:v>
                </c:pt>
                <c:pt idx="7">
                  <c:v>1</c:v>
                </c:pt>
                <c:pt idx="8">
                  <c:v>1</c:v>
                </c:pt>
                <c:pt idx="9">
                  <c:v>4</c:v>
                </c:pt>
                <c:pt idx="10">
                  <c:v>8</c:v>
                </c:pt>
              </c:numCache>
            </c:numRef>
          </c:val>
          <c:extLst>
            <c:ext xmlns:c16="http://schemas.microsoft.com/office/drawing/2014/chart" uri="{C3380CC4-5D6E-409C-BE32-E72D297353CC}">
              <c16:uniqueId val="{00000000-5402-460B-8AE2-7B4B1EB97539}"/>
            </c:ext>
          </c:extLst>
        </c:ser>
        <c:dLbls>
          <c:dLblPos val="inEnd"/>
          <c:showLegendKey val="0"/>
          <c:showVal val="1"/>
          <c:showCatName val="0"/>
          <c:showSerName val="0"/>
          <c:showPercent val="0"/>
          <c:showBubbleSize val="0"/>
        </c:dLbls>
        <c:gapWidth val="65"/>
        <c:axId val="1312080296"/>
        <c:axId val="1312073096"/>
      </c:barChart>
      <c:catAx>
        <c:axId val="13120802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312073096"/>
        <c:crosses val="autoZero"/>
        <c:auto val="1"/>
        <c:lblAlgn val="ctr"/>
        <c:lblOffset val="100"/>
        <c:noMultiLvlLbl val="0"/>
      </c:catAx>
      <c:valAx>
        <c:axId val="1312073096"/>
        <c:scaling>
          <c:orientation val="minMax"/>
        </c:scaling>
        <c:delete val="1"/>
        <c:axPos val="b"/>
        <c:numFmt formatCode="General" sourceLinked="1"/>
        <c:majorTickMark val="none"/>
        <c:minorTickMark val="none"/>
        <c:tickLblPos val="nextTo"/>
        <c:crossAx val="1312080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latin typeface="Aharoni" panose="02010803020104030203" pitchFamily="2" charset="-79"/>
                <a:cs typeface="Aharoni" panose="02010803020104030203" pitchFamily="2" charset="-79"/>
              </a:rPr>
              <a:t>Sum of Available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6.2080342366842699E-2"/>
          <c:y val="0.16885521885521887"/>
          <c:w val="0.90110573527706628"/>
          <c:h val="0.5526326254672711"/>
        </c:manualLayout>
      </c:layout>
      <c:lineChart>
        <c:grouping val="standard"/>
        <c:varyColors val="0"/>
        <c:ser>
          <c:idx val="0"/>
          <c:order val="0"/>
          <c:tx>
            <c:strRef>
              <c:f>Food_items!$U$49</c:f>
              <c:strCache>
                <c:ptCount val="1"/>
                <c:pt idx="0">
                  <c:v>Sum of Available Quantity</c:v>
                </c:pt>
              </c:strCache>
            </c:strRef>
          </c:tx>
          <c:spPr>
            <a:ln w="28575" cap="rnd">
              <a:solidFill>
                <a:srgbClr val="92D050"/>
              </a:solidFill>
              <a:round/>
            </a:ln>
            <a:effectLst/>
          </c:spPr>
          <c:marker>
            <c:symbol val="none"/>
          </c:marker>
          <c:dLbls>
            <c:spPr>
              <a:gradFill>
                <a:gsLst>
                  <a:gs pos="0">
                    <a:schemeClr val="accent1">
                      <a:lumMod val="11000"/>
                      <a:lumOff val="8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76200">
                  <a:schemeClr val="accent1">
                    <a:satMod val="175000"/>
                    <a:alpha val="4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Food_items!$T$50:$T$65</c:f>
              <c:strCache>
                <c:ptCount val="16"/>
                <c:pt idx="0">
                  <c:v>100 kg</c:v>
                </c:pt>
                <c:pt idx="1">
                  <c:v>25 kg</c:v>
                </c:pt>
                <c:pt idx="2">
                  <c:v>30 kg</c:v>
                </c:pt>
                <c:pt idx="3">
                  <c:v>30 litre</c:v>
                </c:pt>
                <c:pt idx="4">
                  <c:v>35 kg</c:v>
                </c:pt>
                <c:pt idx="5">
                  <c:v>4 kg</c:v>
                </c:pt>
                <c:pt idx="6">
                  <c:v>40 kg</c:v>
                </c:pt>
                <c:pt idx="7">
                  <c:v>45 kg</c:v>
                </c:pt>
                <c:pt idx="8">
                  <c:v>5 kg</c:v>
                </c:pt>
                <c:pt idx="9">
                  <c:v>50 kg</c:v>
                </c:pt>
                <c:pt idx="10">
                  <c:v>50 packs</c:v>
                </c:pt>
                <c:pt idx="11">
                  <c:v>6 kg</c:v>
                </c:pt>
                <c:pt idx="12">
                  <c:v>60 kg</c:v>
                </c:pt>
                <c:pt idx="13">
                  <c:v>60 litre</c:v>
                </c:pt>
                <c:pt idx="14">
                  <c:v>8 kg</c:v>
                </c:pt>
                <c:pt idx="15">
                  <c:v>80 kg</c:v>
                </c:pt>
              </c:strCache>
            </c:strRef>
          </c:cat>
          <c:val>
            <c:numRef>
              <c:f>Food_items!$U$50:$U$65</c:f>
              <c:numCache>
                <c:formatCode>General</c:formatCode>
                <c:ptCount val="16"/>
                <c:pt idx="0">
                  <c:v>15</c:v>
                </c:pt>
                <c:pt idx="1">
                  <c:v>25</c:v>
                </c:pt>
                <c:pt idx="2">
                  <c:v>6</c:v>
                </c:pt>
                <c:pt idx="3">
                  <c:v>5</c:v>
                </c:pt>
                <c:pt idx="4">
                  <c:v>10</c:v>
                </c:pt>
                <c:pt idx="5">
                  <c:v>1</c:v>
                </c:pt>
                <c:pt idx="6">
                  <c:v>18</c:v>
                </c:pt>
                <c:pt idx="7">
                  <c:v>12</c:v>
                </c:pt>
                <c:pt idx="8">
                  <c:v>5</c:v>
                </c:pt>
                <c:pt idx="9">
                  <c:v>25</c:v>
                </c:pt>
                <c:pt idx="10">
                  <c:v>20</c:v>
                </c:pt>
                <c:pt idx="11">
                  <c:v>4</c:v>
                </c:pt>
                <c:pt idx="12">
                  <c:v>8</c:v>
                </c:pt>
                <c:pt idx="13">
                  <c:v>40</c:v>
                </c:pt>
                <c:pt idx="14">
                  <c:v>4</c:v>
                </c:pt>
                <c:pt idx="15">
                  <c:v>22</c:v>
                </c:pt>
              </c:numCache>
            </c:numRef>
          </c:val>
          <c:smooth val="0"/>
          <c:extLst>
            <c:ext xmlns:c16="http://schemas.microsoft.com/office/drawing/2014/chart" uri="{C3380CC4-5D6E-409C-BE32-E72D297353CC}">
              <c16:uniqueId val="{00000000-388B-4008-970A-10E0A8170AAF}"/>
            </c:ext>
          </c:extLst>
        </c:ser>
        <c:dLbls>
          <c:showLegendKey val="0"/>
          <c:showVal val="0"/>
          <c:showCatName val="0"/>
          <c:showSerName val="0"/>
          <c:showPercent val="0"/>
          <c:showBubbleSize val="0"/>
        </c:dLbls>
        <c:smooth val="0"/>
        <c:axId val="520454520"/>
        <c:axId val="520460280"/>
      </c:lineChart>
      <c:catAx>
        <c:axId val="52045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460280"/>
        <c:crosses val="autoZero"/>
        <c:auto val="1"/>
        <c:lblAlgn val="ctr"/>
        <c:lblOffset val="100"/>
        <c:noMultiLvlLbl val="0"/>
      </c:catAx>
      <c:valAx>
        <c:axId val="520460280"/>
        <c:scaling>
          <c:orientation val="minMax"/>
        </c:scaling>
        <c:delete val="1"/>
        <c:axPos val="l"/>
        <c:numFmt formatCode="General" sourceLinked="1"/>
        <c:majorTickMark val="none"/>
        <c:minorTickMark val="none"/>
        <c:tickLblPos val="nextTo"/>
        <c:crossAx val="520454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4130265123461"/>
          <c:y val="0.24581487364385082"/>
          <c:w val="0.43353311209874301"/>
          <c:h val="0.65756891503983195"/>
        </c:manualLayout>
      </c:layout>
      <c:doughnutChart>
        <c:varyColors val="1"/>
        <c:ser>
          <c:idx val="0"/>
          <c:order val="0"/>
          <c:tx>
            <c:strRef>
              <c:f>'Pivot tables'!$F$60</c:f>
              <c:strCache>
                <c:ptCount val="1"/>
                <c:pt idx="0">
                  <c:v>Count of Teacher   shortage  status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C0-44DB-9F67-CD926023C6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C0-44DB-9F67-CD926023C6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tables'!$E$61:$E$62</c:f>
              <c:strCache>
                <c:ptCount val="2"/>
                <c:pt idx="0">
                  <c:v>Shortage</c:v>
                </c:pt>
                <c:pt idx="1">
                  <c:v>Sufficient</c:v>
                </c:pt>
              </c:strCache>
            </c:strRef>
          </c:cat>
          <c:val>
            <c:numRef>
              <c:f>'Pivot tables'!$F$61:$F$62</c:f>
              <c:numCache>
                <c:formatCode>General</c:formatCode>
                <c:ptCount val="2"/>
                <c:pt idx="0">
                  <c:v>9</c:v>
                </c:pt>
                <c:pt idx="1">
                  <c:v>12</c:v>
                </c:pt>
              </c:numCache>
            </c:numRef>
          </c:val>
          <c:extLst>
            <c:ext xmlns:c16="http://schemas.microsoft.com/office/drawing/2014/chart" uri="{C3380CC4-5D6E-409C-BE32-E72D297353CC}">
              <c16:uniqueId val="{00000004-C5C0-44DB-9F67-CD926023C6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2357591337338598"/>
          <c:y val="0.91249025124232863"/>
          <c:w val="0.35059405016304718"/>
          <c:h val="8.75098505048357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solidFill>
                <a:srgbClr val="00B0F0"/>
              </a:solidFill>
              <a:ln>
                <a:noFill/>
              </a:ln>
              <a:effectLst/>
              <a:sp3d/>
            </c:spPr>
            <c:extLst>
              <c:ext xmlns:c16="http://schemas.microsoft.com/office/drawing/2014/chart" uri="{C3380CC4-5D6E-409C-BE32-E72D297353CC}">
                <c16:uniqueId val="{00000001-6A18-4E14-B6A0-469F52384660}"/>
              </c:ext>
            </c:extLst>
          </c:dPt>
          <c:dPt>
            <c:idx val="1"/>
            <c:invertIfNegative val="0"/>
            <c:bubble3D val="0"/>
            <c:spPr>
              <a:solidFill>
                <a:srgbClr val="00B0F0"/>
              </a:solidFill>
              <a:ln>
                <a:noFill/>
              </a:ln>
              <a:effectLst/>
              <a:sp3d/>
            </c:spPr>
            <c:extLst>
              <c:ext xmlns:c16="http://schemas.microsoft.com/office/drawing/2014/chart" uri="{C3380CC4-5D6E-409C-BE32-E72D297353CC}">
                <c16:uniqueId val="{00000002-6A18-4E14-B6A0-469F52384660}"/>
              </c:ext>
            </c:extLst>
          </c:dPt>
          <c:dPt>
            <c:idx val="2"/>
            <c:invertIfNegative val="0"/>
            <c:bubble3D val="0"/>
            <c:spPr>
              <a:solidFill>
                <a:srgbClr val="00B0F0"/>
              </a:solidFill>
              <a:ln>
                <a:noFill/>
              </a:ln>
              <a:effectLst/>
              <a:sp3d/>
            </c:spPr>
            <c:extLst>
              <c:ext xmlns:c16="http://schemas.microsoft.com/office/drawing/2014/chart" uri="{C3380CC4-5D6E-409C-BE32-E72D297353CC}">
                <c16:uniqueId val="{00000003-6A18-4E14-B6A0-469F523846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tables'!$B$3:$D$3</c:f>
              <c:strCache>
                <c:ptCount val="3"/>
                <c:pt idx="0">
                  <c:v>Sum of Teachers Required</c:v>
                </c:pt>
                <c:pt idx="1">
                  <c:v>Sum of Teachers Assigned</c:v>
                </c:pt>
                <c:pt idx="2">
                  <c:v>Sum of Teacher Needed</c:v>
                </c:pt>
              </c:strCache>
            </c:strRef>
          </c:cat>
          <c:val>
            <c:numRef>
              <c:f>'Pivot tables'!$B$4:$D$4</c:f>
              <c:numCache>
                <c:formatCode>General</c:formatCode>
                <c:ptCount val="3"/>
                <c:pt idx="0">
                  <c:v>35</c:v>
                </c:pt>
                <c:pt idx="1">
                  <c:v>24</c:v>
                </c:pt>
                <c:pt idx="2">
                  <c:v>11</c:v>
                </c:pt>
              </c:numCache>
            </c:numRef>
          </c:val>
          <c:extLst>
            <c:ext xmlns:c16="http://schemas.microsoft.com/office/drawing/2014/chart" uri="{C3380CC4-5D6E-409C-BE32-E72D297353CC}">
              <c16:uniqueId val="{00000000-6A18-4E14-B6A0-469F52384660}"/>
            </c:ext>
          </c:extLst>
        </c:ser>
        <c:dLbls>
          <c:showLegendKey val="0"/>
          <c:showVal val="1"/>
          <c:showCatName val="0"/>
          <c:showSerName val="0"/>
          <c:showPercent val="0"/>
          <c:showBubbleSize val="0"/>
        </c:dLbls>
        <c:gapWidth val="150"/>
        <c:gapDepth val="0"/>
        <c:shape val="box"/>
        <c:axId val="762258304"/>
        <c:axId val="762253504"/>
        <c:axId val="0"/>
      </c:bar3DChart>
      <c:catAx>
        <c:axId val="76225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253504"/>
        <c:crosses val="autoZero"/>
        <c:auto val="1"/>
        <c:lblAlgn val="ctr"/>
        <c:lblOffset val="100"/>
        <c:noMultiLvlLbl val="0"/>
      </c:catAx>
      <c:valAx>
        <c:axId val="762253504"/>
        <c:scaling>
          <c:orientation val="minMax"/>
        </c:scaling>
        <c:delete val="1"/>
        <c:axPos val="l"/>
        <c:numFmt formatCode="General" sourceLinked="1"/>
        <c:majorTickMark val="none"/>
        <c:minorTickMark val="none"/>
        <c:tickLblPos val="nextTo"/>
        <c:crossAx val="76225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18493544679209E-2"/>
          <c:y val="0.20040450506361696"/>
          <c:w val="0.92888507889836525"/>
          <c:h val="0.3882885401022988"/>
        </c:manualLayout>
      </c:layout>
      <c:barChart>
        <c:barDir val="col"/>
        <c:grouping val="clustered"/>
        <c:varyColors val="0"/>
        <c:ser>
          <c:idx val="0"/>
          <c:order val="0"/>
          <c:tx>
            <c:strRef>
              <c:f>'Pivot tables'!$F$70</c:f>
              <c:strCache>
                <c:ptCount val="1"/>
                <c:pt idx="0">
                  <c:v>Sum of Teacher Needed</c:v>
                </c:pt>
              </c:strCache>
            </c:strRef>
          </c:tx>
          <c:spPr>
            <a:solidFill>
              <a:schemeClr val="accent2">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tables'!$E$71:$E$91</c:f>
              <c:strCache>
                <c:ptCount val="21"/>
                <c:pt idx="0">
                  <c:v>Accountancy</c:v>
                </c:pt>
                <c:pt idx="1">
                  <c:v>Art</c:v>
                </c:pt>
                <c:pt idx="2">
                  <c:v>Biology</c:v>
                </c:pt>
                <c:pt idx="3">
                  <c:v>Business Studies</c:v>
                </c:pt>
                <c:pt idx="4">
                  <c:v>Chemistry</c:v>
                </c:pt>
                <c:pt idx="5">
                  <c:v>Civics</c:v>
                </c:pt>
                <c:pt idx="6">
                  <c:v>Computer</c:v>
                </c:pt>
                <c:pt idx="7">
                  <c:v>Current affaris</c:v>
                </c:pt>
                <c:pt idx="8">
                  <c:v>Dance</c:v>
                </c:pt>
                <c:pt idx="9">
                  <c:v>Economics</c:v>
                </c:pt>
                <c:pt idx="10">
                  <c:v>English</c:v>
                </c:pt>
                <c:pt idx="11">
                  <c:v>Environmental Science</c:v>
                </c:pt>
                <c:pt idx="12">
                  <c:v>Geography</c:v>
                </c:pt>
                <c:pt idx="13">
                  <c:v>Hindi</c:v>
                </c:pt>
                <c:pt idx="14">
                  <c:v>History</c:v>
                </c:pt>
                <c:pt idx="15">
                  <c:v>Math</c:v>
                </c:pt>
                <c:pt idx="16">
                  <c:v>Music</c:v>
                </c:pt>
                <c:pt idx="17">
                  <c:v>Physical Education</c:v>
                </c:pt>
                <c:pt idx="18">
                  <c:v>Physics</c:v>
                </c:pt>
                <c:pt idx="19">
                  <c:v>Psychology</c:v>
                </c:pt>
                <c:pt idx="20">
                  <c:v>Sanskrit</c:v>
                </c:pt>
              </c:strCache>
            </c:strRef>
          </c:cat>
          <c:val>
            <c:numRef>
              <c:f>'Pivot tables'!$F$71:$F$91</c:f>
              <c:numCache>
                <c:formatCode>General</c:formatCode>
                <c:ptCount val="21"/>
                <c:pt idx="0">
                  <c:v>1</c:v>
                </c:pt>
                <c:pt idx="1">
                  <c:v>0</c:v>
                </c:pt>
                <c:pt idx="2">
                  <c:v>1</c:v>
                </c:pt>
                <c:pt idx="3">
                  <c:v>0</c:v>
                </c:pt>
                <c:pt idx="4">
                  <c:v>0</c:v>
                </c:pt>
                <c:pt idx="5">
                  <c:v>1</c:v>
                </c:pt>
                <c:pt idx="6">
                  <c:v>1</c:v>
                </c:pt>
                <c:pt idx="7">
                  <c:v>2</c:v>
                </c:pt>
                <c:pt idx="8">
                  <c:v>1</c:v>
                </c:pt>
                <c:pt idx="9">
                  <c:v>0</c:v>
                </c:pt>
                <c:pt idx="10">
                  <c:v>0</c:v>
                </c:pt>
                <c:pt idx="11">
                  <c:v>0</c:v>
                </c:pt>
                <c:pt idx="12">
                  <c:v>0</c:v>
                </c:pt>
                <c:pt idx="13">
                  <c:v>0</c:v>
                </c:pt>
                <c:pt idx="14">
                  <c:v>0</c:v>
                </c:pt>
                <c:pt idx="15">
                  <c:v>1</c:v>
                </c:pt>
                <c:pt idx="16">
                  <c:v>1</c:v>
                </c:pt>
                <c:pt idx="17">
                  <c:v>0</c:v>
                </c:pt>
                <c:pt idx="18">
                  <c:v>2</c:v>
                </c:pt>
                <c:pt idx="19">
                  <c:v>0</c:v>
                </c:pt>
                <c:pt idx="20">
                  <c:v>0</c:v>
                </c:pt>
              </c:numCache>
            </c:numRef>
          </c:val>
          <c:extLst>
            <c:ext xmlns:c16="http://schemas.microsoft.com/office/drawing/2014/chart" uri="{C3380CC4-5D6E-409C-BE32-E72D297353CC}">
              <c16:uniqueId val="{00000000-1E85-4CE5-B75D-9C7F492F9F44}"/>
            </c:ext>
          </c:extLst>
        </c:ser>
        <c:dLbls>
          <c:dLblPos val="inEnd"/>
          <c:showLegendKey val="0"/>
          <c:showVal val="1"/>
          <c:showCatName val="0"/>
          <c:showSerName val="0"/>
          <c:showPercent val="0"/>
          <c:showBubbleSize val="0"/>
        </c:dLbls>
        <c:gapWidth val="41"/>
        <c:axId val="762251584"/>
        <c:axId val="762252064"/>
      </c:barChart>
      <c:catAx>
        <c:axId val="76225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762252064"/>
        <c:crosses val="autoZero"/>
        <c:auto val="1"/>
        <c:lblAlgn val="ctr"/>
        <c:lblOffset val="100"/>
        <c:noMultiLvlLbl val="0"/>
      </c:catAx>
      <c:valAx>
        <c:axId val="762252064"/>
        <c:scaling>
          <c:orientation val="minMax"/>
        </c:scaling>
        <c:delete val="1"/>
        <c:axPos val="l"/>
        <c:numFmt formatCode="General" sourceLinked="1"/>
        <c:majorTickMark val="none"/>
        <c:minorTickMark val="none"/>
        <c:tickLblPos val="nextTo"/>
        <c:crossAx val="7622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5.jpe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image" Target="../media/image4.jpeg"/><Relationship Id="rId5" Type="http://schemas.openxmlformats.org/officeDocument/2006/relationships/chart" Target="../charts/chart8.xml"/><Relationship Id="rId10" Type="http://schemas.openxmlformats.org/officeDocument/2006/relationships/image" Target="../media/image3.jpeg"/><Relationship Id="rId4" Type="http://schemas.openxmlformats.org/officeDocument/2006/relationships/chart" Target="../charts/chart7.xml"/><Relationship Id="rId9" Type="http://schemas.openxmlformats.org/officeDocument/2006/relationships/image" Target="../media/image2.jpe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32</xdr:col>
      <xdr:colOff>22860</xdr:colOff>
      <xdr:row>29</xdr:row>
      <xdr:rowOff>34290</xdr:rowOff>
    </xdr:from>
    <xdr:to>
      <xdr:col>42</xdr:col>
      <xdr:colOff>403860</xdr:colOff>
      <xdr:row>44</xdr:row>
      <xdr:rowOff>34290</xdr:rowOff>
    </xdr:to>
    <xdr:graphicFrame macro="">
      <xdr:nvGraphicFramePr>
        <xdr:cNvPr id="3" name="Chart 2">
          <a:extLst>
            <a:ext uri="{FF2B5EF4-FFF2-40B4-BE49-F238E27FC236}">
              <a16:creationId xmlns:a16="http://schemas.microsoft.com/office/drawing/2014/main" id="{39ABDF74-0229-EA3D-311B-EE4A4FBDC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106680</xdr:colOff>
      <xdr:row>51</xdr:row>
      <xdr:rowOff>22860</xdr:rowOff>
    </xdr:from>
    <xdr:to>
      <xdr:col>18</xdr:col>
      <xdr:colOff>205740</xdr:colOff>
      <xdr:row>64</xdr:row>
      <xdr:rowOff>118110</xdr:rowOff>
    </xdr:to>
    <xdr:graphicFrame macro="">
      <xdr:nvGraphicFramePr>
        <xdr:cNvPr id="10" name="Chart 1">
          <a:extLst>
            <a:ext uri="{FF2B5EF4-FFF2-40B4-BE49-F238E27FC236}">
              <a16:creationId xmlns:a16="http://schemas.microsoft.com/office/drawing/2014/main" id="{0E012F3A-9DBE-0CA8-16FD-1425C481B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256082</xdr:colOff>
      <xdr:row>84</xdr:row>
      <xdr:rowOff>164892</xdr:rowOff>
    </xdr:from>
    <xdr:to>
      <xdr:col>9</xdr:col>
      <xdr:colOff>343524</xdr:colOff>
      <xdr:row>99</xdr:row>
      <xdr:rowOff>97437</xdr:rowOff>
    </xdr:to>
    <xdr:graphicFrame macro="">
      <xdr:nvGraphicFramePr>
        <xdr:cNvPr id="37" name="Chart 14">
          <a:extLst>
            <a:ext uri="{FF2B5EF4-FFF2-40B4-BE49-F238E27FC236}">
              <a16:creationId xmlns:a16="http://schemas.microsoft.com/office/drawing/2014/main" id="{FFC96A99-CD79-8844-57FB-A38CD6F69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599723</xdr:colOff>
      <xdr:row>9</xdr:row>
      <xdr:rowOff>166700</xdr:rowOff>
    </xdr:from>
    <xdr:to>
      <xdr:col>9</xdr:col>
      <xdr:colOff>157763</xdr:colOff>
      <xdr:row>23</xdr:row>
      <xdr:rowOff>159080</xdr:rowOff>
    </xdr:to>
    <xdr:sp macro="" textlink="">
      <xdr:nvSpPr>
        <xdr:cNvPr id="2" name="Rectangle: Rounded Corners 1">
          <a:extLst>
            <a:ext uri="{FF2B5EF4-FFF2-40B4-BE49-F238E27FC236}">
              <a16:creationId xmlns:a16="http://schemas.microsoft.com/office/drawing/2014/main" id="{09CB87F7-5219-FED4-1747-A8FB990D6D1B}"/>
            </a:ext>
          </a:extLst>
        </xdr:cNvPr>
        <xdr:cNvSpPr/>
      </xdr:nvSpPr>
      <xdr:spPr>
        <a:xfrm>
          <a:off x="1822686" y="1775367"/>
          <a:ext cx="3838410" cy="2494750"/>
        </a:xfrm>
        <a:prstGeom prst="roundRect">
          <a:avLst>
            <a:gd name="adj" fmla="val 8308"/>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405177</xdr:colOff>
      <xdr:row>9</xdr:row>
      <xdr:rowOff>132645</xdr:rowOff>
    </xdr:from>
    <xdr:to>
      <xdr:col>15</xdr:col>
      <xdr:colOff>572817</xdr:colOff>
      <xdr:row>23</xdr:row>
      <xdr:rowOff>125025</xdr:rowOff>
    </xdr:to>
    <xdr:sp macro="" textlink="">
      <xdr:nvSpPr>
        <xdr:cNvPr id="3" name="Rectangle: Rounded Corners 2">
          <a:extLst>
            <a:ext uri="{FF2B5EF4-FFF2-40B4-BE49-F238E27FC236}">
              <a16:creationId xmlns:a16="http://schemas.microsoft.com/office/drawing/2014/main" id="{1477ED30-F90B-414E-99B6-0D6E07E7AF09}"/>
            </a:ext>
          </a:extLst>
        </xdr:cNvPr>
        <xdr:cNvSpPr/>
      </xdr:nvSpPr>
      <xdr:spPr>
        <a:xfrm>
          <a:off x="5908510" y="1741312"/>
          <a:ext cx="3836529" cy="2494750"/>
        </a:xfrm>
        <a:prstGeom prst="roundRect">
          <a:avLst>
            <a:gd name="adj" fmla="val 6816"/>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231704</xdr:colOff>
      <xdr:row>9</xdr:row>
      <xdr:rowOff>103951</xdr:rowOff>
    </xdr:from>
    <xdr:to>
      <xdr:col>22</xdr:col>
      <xdr:colOff>399344</xdr:colOff>
      <xdr:row>23</xdr:row>
      <xdr:rowOff>96331</xdr:rowOff>
    </xdr:to>
    <xdr:sp macro="" textlink="">
      <xdr:nvSpPr>
        <xdr:cNvPr id="98" name="Rectangle: Rounded Corners 3">
          <a:extLst>
            <a:ext uri="{FF2B5EF4-FFF2-40B4-BE49-F238E27FC236}">
              <a16:creationId xmlns:a16="http://schemas.microsoft.com/office/drawing/2014/main" id="{6326F53A-90E7-47C5-A7EE-8A61F8532C04}"/>
            </a:ext>
          </a:extLst>
        </xdr:cNvPr>
        <xdr:cNvSpPr/>
      </xdr:nvSpPr>
      <xdr:spPr>
        <a:xfrm>
          <a:off x="10015408" y="1712618"/>
          <a:ext cx="3836529" cy="2494750"/>
        </a:xfrm>
        <a:prstGeom prst="roundRect">
          <a:avLst>
            <a:gd name="adj" fmla="val 7711"/>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592103</xdr:colOff>
      <xdr:row>25</xdr:row>
      <xdr:rowOff>69520</xdr:rowOff>
    </xdr:from>
    <xdr:to>
      <xdr:col>9</xdr:col>
      <xdr:colOff>150143</xdr:colOff>
      <xdr:row>39</xdr:row>
      <xdr:rowOff>61900</xdr:rowOff>
    </xdr:to>
    <xdr:sp macro="" textlink="">
      <xdr:nvSpPr>
        <xdr:cNvPr id="84" name="Rectangle: Rounded Corners 4">
          <a:extLst>
            <a:ext uri="{FF2B5EF4-FFF2-40B4-BE49-F238E27FC236}">
              <a16:creationId xmlns:a16="http://schemas.microsoft.com/office/drawing/2014/main" id="{B823FEFD-36FE-41C0-BEAC-37C8C3310DC8}"/>
            </a:ext>
          </a:extLst>
        </xdr:cNvPr>
        <xdr:cNvSpPr/>
      </xdr:nvSpPr>
      <xdr:spPr>
        <a:xfrm>
          <a:off x="1815066" y="4538039"/>
          <a:ext cx="3838410" cy="2494750"/>
        </a:xfrm>
        <a:prstGeom prst="roundRect">
          <a:avLst>
            <a:gd name="adj" fmla="val 9801"/>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398028</xdr:colOff>
      <xdr:row>25</xdr:row>
      <xdr:rowOff>39041</xdr:rowOff>
    </xdr:from>
    <xdr:to>
      <xdr:col>15</xdr:col>
      <xdr:colOff>565668</xdr:colOff>
      <xdr:row>39</xdr:row>
      <xdr:rowOff>31421</xdr:rowOff>
    </xdr:to>
    <xdr:sp macro="" textlink="">
      <xdr:nvSpPr>
        <xdr:cNvPr id="6" name="Rectangle: Rounded Corners 5">
          <a:extLst>
            <a:ext uri="{FF2B5EF4-FFF2-40B4-BE49-F238E27FC236}">
              <a16:creationId xmlns:a16="http://schemas.microsoft.com/office/drawing/2014/main" id="{7A597E78-405E-4516-8264-9872EB6B2C94}"/>
            </a:ext>
          </a:extLst>
        </xdr:cNvPr>
        <xdr:cNvSpPr/>
      </xdr:nvSpPr>
      <xdr:spPr>
        <a:xfrm>
          <a:off x="5901361" y="4507560"/>
          <a:ext cx="3836529" cy="2494750"/>
        </a:xfrm>
        <a:prstGeom prst="roundRect">
          <a:avLst>
            <a:gd name="adj" fmla="val 7711"/>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179305</xdr:colOff>
      <xdr:row>25</xdr:row>
      <xdr:rowOff>9031</xdr:rowOff>
    </xdr:from>
    <xdr:to>
      <xdr:col>22</xdr:col>
      <xdr:colOff>346945</xdr:colOff>
      <xdr:row>39</xdr:row>
      <xdr:rowOff>1411</xdr:rowOff>
    </xdr:to>
    <xdr:sp macro="" textlink="">
      <xdr:nvSpPr>
        <xdr:cNvPr id="99" name="Rectangle: Rounded Corners 7">
          <a:extLst>
            <a:ext uri="{FF2B5EF4-FFF2-40B4-BE49-F238E27FC236}">
              <a16:creationId xmlns:a16="http://schemas.microsoft.com/office/drawing/2014/main" id="{D35EC538-8BFA-4BF0-83C4-799576AF5E71}"/>
            </a:ext>
          </a:extLst>
        </xdr:cNvPr>
        <xdr:cNvSpPr/>
      </xdr:nvSpPr>
      <xdr:spPr>
        <a:xfrm>
          <a:off x="9963009" y="4477550"/>
          <a:ext cx="3836529" cy="2494750"/>
        </a:xfrm>
        <a:prstGeom prst="roundRect">
          <a:avLst>
            <a:gd name="adj" fmla="val 5920"/>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10</xdr:row>
      <xdr:rowOff>22485</xdr:rowOff>
    </xdr:from>
    <xdr:to>
      <xdr:col>2</xdr:col>
      <xdr:colOff>327660</xdr:colOff>
      <xdr:row>23</xdr:row>
      <xdr:rowOff>155505</xdr:rowOff>
    </xdr:to>
    <xdr:sp macro="" textlink="">
      <xdr:nvSpPr>
        <xdr:cNvPr id="15" name="Rectangle: Rounded Corners 8">
          <a:extLst>
            <a:ext uri="{FF2B5EF4-FFF2-40B4-BE49-F238E27FC236}">
              <a16:creationId xmlns:a16="http://schemas.microsoft.com/office/drawing/2014/main" id="{D1CD6D95-9B08-4BD3-9B3A-2AA4E0133234}"/>
            </a:ext>
          </a:extLst>
        </xdr:cNvPr>
        <xdr:cNvSpPr/>
      </xdr:nvSpPr>
      <xdr:spPr>
        <a:xfrm>
          <a:off x="457200" y="1809892"/>
          <a:ext cx="1093423" cy="2456650"/>
        </a:xfrm>
        <a:prstGeom prst="roundRect">
          <a:avLst>
            <a:gd name="adj" fmla="val 1638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563409</xdr:colOff>
      <xdr:row>40</xdr:row>
      <xdr:rowOff>123327</xdr:rowOff>
    </xdr:from>
    <xdr:to>
      <xdr:col>9</xdr:col>
      <xdr:colOff>121449</xdr:colOff>
      <xdr:row>54</xdr:row>
      <xdr:rowOff>158609</xdr:rowOff>
    </xdr:to>
    <xdr:sp macro="" textlink="">
      <xdr:nvSpPr>
        <xdr:cNvPr id="198" name="Rectangle: Rounded Corners 9">
          <a:extLst>
            <a:ext uri="{FF2B5EF4-FFF2-40B4-BE49-F238E27FC236}">
              <a16:creationId xmlns:a16="http://schemas.microsoft.com/office/drawing/2014/main" id="{BB50E937-8762-46B7-B5A5-0A772E4B9635}"/>
            </a:ext>
          </a:extLst>
        </xdr:cNvPr>
        <xdr:cNvSpPr/>
      </xdr:nvSpPr>
      <xdr:spPr>
        <a:xfrm>
          <a:off x="1786372" y="7272957"/>
          <a:ext cx="3838410" cy="2537652"/>
        </a:xfrm>
        <a:prstGeom prst="roundRect">
          <a:avLst>
            <a:gd name="adj" fmla="val 10099"/>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356664</xdr:colOff>
      <xdr:row>40</xdr:row>
      <xdr:rowOff>99987</xdr:rowOff>
    </xdr:from>
    <xdr:to>
      <xdr:col>15</xdr:col>
      <xdr:colOff>562404</xdr:colOff>
      <xdr:row>54</xdr:row>
      <xdr:rowOff>157059</xdr:rowOff>
    </xdr:to>
    <xdr:sp macro="" textlink="">
      <xdr:nvSpPr>
        <xdr:cNvPr id="12" name="Rectangle: Rounded Corners 11">
          <a:extLst>
            <a:ext uri="{FF2B5EF4-FFF2-40B4-BE49-F238E27FC236}">
              <a16:creationId xmlns:a16="http://schemas.microsoft.com/office/drawing/2014/main" id="{821E4D89-8F23-4F20-8D59-DC062689DAF8}"/>
            </a:ext>
          </a:extLst>
        </xdr:cNvPr>
        <xdr:cNvSpPr/>
      </xdr:nvSpPr>
      <xdr:spPr>
        <a:xfrm>
          <a:off x="5859997" y="7249617"/>
          <a:ext cx="3874629" cy="2559442"/>
        </a:xfrm>
        <a:prstGeom prst="roundRect">
          <a:avLst>
            <a:gd name="adj" fmla="val 10099"/>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172777</xdr:colOff>
      <xdr:row>40</xdr:row>
      <xdr:rowOff>71995</xdr:rowOff>
    </xdr:from>
    <xdr:to>
      <xdr:col>22</xdr:col>
      <xdr:colOff>340417</xdr:colOff>
      <xdr:row>54</xdr:row>
      <xdr:rowOff>172921</xdr:rowOff>
    </xdr:to>
    <xdr:sp macro="" textlink="">
      <xdr:nvSpPr>
        <xdr:cNvPr id="14" name="Rectangle: Rounded Corners 13">
          <a:extLst>
            <a:ext uri="{FF2B5EF4-FFF2-40B4-BE49-F238E27FC236}">
              <a16:creationId xmlns:a16="http://schemas.microsoft.com/office/drawing/2014/main" id="{516D476A-1B63-4439-BFB5-D36F0AE2C39F}"/>
            </a:ext>
          </a:extLst>
        </xdr:cNvPr>
        <xdr:cNvSpPr/>
      </xdr:nvSpPr>
      <xdr:spPr>
        <a:xfrm>
          <a:off x="9956481" y="7221625"/>
          <a:ext cx="3836529" cy="2603296"/>
        </a:xfrm>
        <a:prstGeom prst="roundRect">
          <a:avLst>
            <a:gd name="adj" fmla="val 890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415525</xdr:colOff>
      <xdr:row>25</xdr:row>
      <xdr:rowOff>52023</xdr:rowOff>
    </xdr:from>
    <xdr:to>
      <xdr:col>2</xdr:col>
      <xdr:colOff>285985</xdr:colOff>
      <xdr:row>38</xdr:row>
      <xdr:rowOff>177424</xdr:rowOff>
    </xdr:to>
    <xdr:sp macro="" textlink="">
      <xdr:nvSpPr>
        <xdr:cNvPr id="16" name="Rectangle: Rounded Corners 8">
          <a:extLst>
            <a:ext uri="{FF2B5EF4-FFF2-40B4-BE49-F238E27FC236}">
              <a16:creationId xmlns:a16="http://schemas.microsoft.com/office/drawing/2014/main" id="{9F46E6DA-F5D1-47A9-B7EC-119BEEDD9C3D}"/>
            </a:ext>
          </a:extLst>
        </xdr:cNvPr>
        <xdr:cNvSpPr/>
      </xdr:nvSpPr>
      <xdr:spPr>
        <a:xfrm>
          <a:off x="415525" y="4520542"/>
          <a:ext cx="1093423" cy="2449030"/>
        </a:xfrm>
        <a:prstGeom prst="roundRect">
          <a:avLst>
            <a:gd name="adj" fmla="val 1638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40</xdr:row>
      <xdr:rowOff>65006</xdr:rowOff>
    </xdr:from>
    <xdr:to>
      <xdr:col>2</xdr:col>
      <xdr:colOff>289560</xdr:colOff>
      <xdr:row>54</xdr:row>
      <xdr:rowOff>141206</xdr:rowOff>
    </xdr:to>
    <xdr:sp macro="" textlink="">
      <xdr:nvSpPr>
        <xdr:cNvPr id="17" name="Rectangle: Rounded Corners 8">
          <a:extLst>
            <a:ext uri="{FF2B5EF4-FFF2-40B4-BE49-F238E27FC236}">
              <a16:creationId xmlns:a16="http://schemas.microsoft.com/office/drawing/2014/main" id="{7077B44B-A1DF-4739-B59E-FEA388044060}"/>
            </a:ext>
          </a:extLst>
        </xdr:cNvPr>
        <xdr:cNvSpPr/>
      </xdr:nvSpPr>
      <xdr:spPr>
        <a:xfrm>
          <a:off x="419100" y="7214636"/>
          <a:ext cx="1093423" cy="2578570"/>
        </a:xfrm>
        <a:prstGeom prst="roundRect">
          <a:avLst>
            <a:gd name="adj" fmla="val 1638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600286</xdr:colOff>
      <xdr:row>12</xdr:row>
      <xdr:rowOff>3669</xdr:rowOff>
    </xdr:from>
    <xdr:to>
      <xdr:col>9</xdr:col>
      <xdr:colOff>34525</xdr:colOff>
      <xdr:row>23</xdr:row>
      <xdr:rowOff>68110</xdr:rowOff>
    </xdr:to>
    <xdr:graphicFrame macro="">
      <xdr:nvGraphicFramePr>
        <xdr:cNvPr id="11" name="Chart 18">
          <a:extLst>
            <a:ext uri="{FF2B5EF4-FFF2-40B4-BE49-F238E27FC236}">
              <a16:creationId xmlns:a16="http://schemas.microsoft.com/office/drawing/2014/main" id="{77BE6DFD-096D-4823-93EE-7672BD76F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298497</xdr:colOff>
      <xdr:row>9</xdr:row>
      <xdr:rowOff>139323</xdr:rowOff>
    </xdr:from>
    <xdr:to>
      <xdr:col>22</xdr:col>
      <xdr:colOff>321356</xdr:colOff>
      <xdr:row>22</xdr:row>
      <xdr:rowOff>90123</xdr:rowOff>
    </xdr:to>
    <xdr:graphicFrame macro="">
      <xdr:nvGraphicFramePr>
        <xdr:cNvPr id="20" name="Chart 6">
          <a:extLst>
            <a:ext uri="{FF2B5EF4-FFF2-40B4-BE49-F238E27FC236}">
              <a16:creationId xmlns:a16="http://schemas.microsoft.com/office/drawing/2014/main" id="{5671BB83-2D3B-402A-A279-7812B17A2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477802</xdr:colOff>
      <xdr:row>10</xdr:row>
      <xdr:rowOff>32738</xdr:rowOff>
    </xdr:from>
    <xdr:to>
      <xdr:col>15</xdr:col>
      <xdr:colOff>470182</xdr:colOff>
      <xdr:row>22</xdr:row>
      <xdr:rowOff>70838</xdr:rowOff>
    </xdr:to>
    <xdr:graphicFrame macro="">
      <xdr:nvGraphicFramePr>
        <xdr:cNvPr id="97" name="Chart 8">
          <a:extLst>
            <a:ext uri="{FF2B5EF4-FFF2-40B4-BE49-F238E27FC236}">
              <a16:creationId xmlns:a16="http://schemas.microsoft.com/office/drawing/2014/main" id="{C37C8F57-1AA0-457F-8F07-63A6E8F3F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433870</xdr:colOff>
      <xdr:row>25</xdr:row>
      <xdr:rowOff>98120</xdr:rowOff>
    </xdr:from>
    <xdr:to>
      <xdr:col>16</xdr:col>
      <xdr:colOff>12887</xdr:colOff>
      <xdr:row>38</xdr:row>
      <xdr:rowOff>159080</xdr:rowOff>
    </xdr:to>
    <xdr:graphicFrame macro="">
      <xdr:nvGraphicFramePr>
        <xdr:cNvPr id="82" name="Chart 12">
          <a:extLst>
            <a:ext uri="{FF2B5EF4-FFF2-40B4-BE49-F238E27FC236}">
              <a16:creationId xmlns:a16="http://schemas.microsoft.com/office/drawing/2014/main" id="{0BC7EE00-1871-4DFC-80CF-0BCD349AC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381001</xdr:colOff>
      <xdr:row>25</xdr:row>
      <xdr:rowOff>37724</xdr:rowOff>
    </xdr:from>
    <xdr:to>
      <xdr:col>22</xdr:col>
      <xdr:colOff>457200</xdr:colOff>
      <xdr:row>39</xdr:row>
      <xdr:rowOff>52964</xdr:rowOff>
    </xdr:to>
    <xdr:graphicFrame macro="">
      <xdr:nvGraphicFramePr>
        <xdr:cNvPr id="70" name="Chart 17">
          <a:extLst>
            <a:ext uri="{FF2B5EF4-FFF2-40B4-BE49-F238E27FC236}">
              <a16:creationId xmlns:a16="http://schemas.microsoft.com/office/drawing/2014/main" id="{1115AD6B-2F02-4D96-88F0-E35A06660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5269</xdr:colOff>
      <xdr:row>25</xdr:row>
      <xdr:rowOff>119662</xdr:rowOff>
    </xdr:from>
    <xdr:to>
      <xdr:col>9</xdr:col>
      <xdr:colOff>144310</xdr:colOff>
      <xdr:row>38</xdr:row>
      <xdr:rowOff>9501</xdr:rowOff>
    </xdr:to>
    <xdr:graphicFrame macro="">
      <xdr:nvGraphicFramePr>
        <xdr:cNvPr id="101" name="Chart 27">
          <a:extLst>
            <a:ext uri="{FF2B5EF4-FFF2-40B4-BE49-F238E27FC236}">
              <a16:creationId xmlns:a16="http://schemas.microsoft.com/office/drawing/2014/main" id="{CFB0361B-4B0E-4232-B0AF-8BD1DDC8C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57198</xdr:colOff>
      <xdr:row>40</xdr:row>
      <xdr:rowOff>65477</xdr:rowOff>
    </xdr:from>
    <xdr:to>
      <xdr:col>9</xdr:col>
      <xdr:colOff>102918</xdr:colOff>
      <xdr:row>54</xdr:row>
      <xdr:rowOff>12137</xdr:rowOff>
    </xdr:to>
    <xdr:graphicFrame macro="">
      <xdr:nvGraphicFramePr>
        <xdr:cNvPr id="214" name="Chart 1">
          <a:extLst>
            <a:ext uri="{FF2B5EF4-FFF2-40B4-BE49-F238E27FC236}">
              <a16:creationId xmlns:a16="http://schemas.microsoft.com/office/drawing/2014/main" id="{3F861662-F83F-413C-928B-157985471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471970</xdr:colOff>
      <xdr:row>10</xdr:row>
      <xdr:rowOff>46190</xdr:rowOff>
    </xdr:from>
    <xdr:to>
      <xdr:col>8</xdr:col>
      <xdr:colOff>113830</xdr:colOff>
      <xdr:row>11</xdr:row>
      <xdr:rowOff>76670</xdr:rowOff>
    </xdr:to>
    <xdr:sp macro="" textlink="">
      <xdr:nvSpPr>
        <xdr:cNvPr id="4" name="TextBox 3">
          <a:extLst>
            <a:ext uri="{FF2B5EF4-FFF2-40B4-BE49-F238E27FC236}">
              <a16:creationId xmlns:a16="http://schemas.microsoft.com/office/drawing/2014/main" id="{A30B65BB-2918-8C9F-44B4-D3178026D9B7}"/>
            </a:ext>
          </a:extLst>
        </xdr:cNvPr>
        <xdr:cNvSpPr txBox="1"/>
      </xdr:nvSpPr>
      <xdr:spPr>
        <a:xfrm>
          <a:off x="2917896" y="1833597"/>
          <a:ext cx="2087786" cy="209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haroni" panose="02010803020104030203" pitchFamily="2" charset="-79"/>
              <a:cs typeface="Aharoni" panose="02010803020104030203" pitchFamily="2" charset="-79"/>
            </a:rPr>
            <a:t>Count</a:t>
          </a:r>
          <a:r>
            <a:rPr lang="en-IN" sz="1600" b="1" baseline="0">
              <a:solidFill>
                <a:schemeClr val="bg1"/>
              </a:solidFill>
              <a:latin typeface="Aharoni" panose="02010803020104030203" pitchFamily="2" charset="-79"/>
              <a:cs typeface="Aharoni" panose="02010803020104030203" pitchFamily="2" charset="-79"/>
            </a:rPr>
            <a:t> of Books</a:t>
          </a:r>
          <a:endParaRPr lang="en-IN" sz="1600" b="1">
            <a:solidFill>
              <a:schemeClr val="bg1"/>
            </a:solidFill>
            <a:latin typeface="Aharoni" panose="02010803020104030203" pitchFamily="2" charset="-79"/>
            <a:cs typeface="Aharoni" panose="02010803020104030203" pitchFamily="2" charset="-79"/>
          </a:endParaRPr>
        </a:p>
      </xdr:txBody>
    </xdr:sp>
    <xdr:clientData/>
  </xdr:twoCellAnchor>
  <xdr:twoCellAnchor>
    <xdr:from>
      <xdr:col>0</xdr:col>
      <xdr:colOff>545630</xdr:colOff>
      <xdr:row>2</xdr:row>
      <xdr:rowOff>84668</xdr:rowOff>
    </xdr:from>
    <xdr:to>
      <xdr:col>22</xdr:col>
      <xdr:colOff>301037</xdr:colOff>
      <xdr:row>8</xdr:row>
      <xdr:rowOff>47038</xdr:rowOff>
    </xdr:to>
    <xdr:sp macro="" textlink="">
      <xdr:nvSpPr>
        <xdr:cNvPr id="5" name="Rectangle: Rounded Corners 8">
          <a:extLst>
            <a:ext uri="{FF2B5EF4-FFF2-40B4-BE49-F238E27FC236}">
              <a16:creationId xmlns:a16="http://schemas.microsoft.com/office/drawing/2014/main" id="{3351C15E-7D46-454A-916D-E60CB0A0078F}"/>
            </a:ext>
          </a:extLst>
        </xdr:cNvPr>
        <xdr:cNvSpPr/>
      </xdr:nvSpPr>
      <xdr:spPr>
        <a:xfrm>
          <a:off x="545630" y="442149"/>
          <a:ext cx="13208000" cy="1034815"/>
        </a:xfrm>
        <a:prstGeom prst="roundRect">
          <a:avLst>
            <a:gd name="adj" fmla="val 1638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131706</xdr:colOff>
      <xdr:row>3</xdr:row>
      <xdr:rowOff>0</xdr:rowOff>
    </xdr:from>
    <xdr:to>
      <xdr:col>18</xdr:col>
      <xdr:colOff>423334</xdr:colOff>
      <xdr:row>7</xdr:row>
      <xdr:rowOff>65851</xdr:rowOff>
    </xdr:to>
    <xdr:sp macro="" textlink="">
      <xdr:nvSpPr>
        <xdr:cNvPr id="7" name="TextBox 6">
          <a:extLst>
            <a:ext uri="{FF2B5EF4-FFF2-40B4-BE49-F238E27FC236}">
              <a16:creationId xmlns:a16="http://schemas.microsoft.com/office/drawing/2014/main" id="{A3A8163F-3722-6EAA-5ADB-5046B9993DE3}"/>
            </a:ext>
          </a:extLst>
        </xdr:cNvPr>
        <xdr:cNvSpPr txBox="1"/>
      </xdr:nvSpPr>
      <xdr:spPr>
        <a:xfrm>
          <a:off x="3189113" y="536222"/>
          <a:ext cx="8240888" cy="780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bg1"/>
              </a:solidFill>
              <a:latin typeface="Algerian" panose="04020705040A02060702" pitchFamily="82" charset="0"/>
            </a:rPr>
            <a:t>RESOURCE MANAGEMENT</a:t>
          </a:r>
          <a:r>
            <a:rPr lang="en-IN" sz="4000" baseline="0">
              <a:solidFill>
                <a:schemeClr val="bg1"/>
              </a:solidFill>
              <a:latin typeface="Algerian" panose="04020705040A02060702" pitchFamily="82" charset="0"/>
            </a:rPr>
            <a:t> SYSTEM</a:t>
          </a:r>
          <a:endParaRPr lang="en-IN" sz="4000">
            <a:solidFill>
              <a:schemeClr val="bg1"/>
            </a:solidFill>
            <a:latin typeface="Algerian" panose="04020705040A02060702" pitchFamily="82" charset="0"/>
          </a:endParaRPr>
        </a:p>
      </xdr:txBody>
    </xdr:sp>
    <xdr:clientData/>
  </xdr:twoCellAnchor>
  <xdr:twoCellAnchor>
    <xdr:from>
      <xdr:col>0</xdr:col>
      <xdr:colOff>592666</xdr:colOff>
      <xdr:row>10</xdr:row>
      <xdr:rowOff>150519</xdr:rowOff>
    </xdr:from>
    <xdr:to>
      <xdr:col>2</xdr:col>
      <xdr:colOff>244592</xdr:colOff>
      <xdr:row>12</xdr:row>
      <xdr:rowOff>84666</xdr:rowOff>
    </xdr:to>
    <xdr:sp macro="" textlink="">
      <xdr:nvSpPr>
        <xdr:cNvPr id="8" name="TextBox 7">
          <a:extLst>
            <a:ext uri="{FF2B5EF4-FFF2-40B4-BE49-F238E27FC236}">
              <a16:creationId xmlns:a16="http://schemas.microsoft.com/office/drawing/2014/main" id="{8491E992-3F2A-CF81-ED52-7966CF37C5DA}"/>
            </a:ext>
          </a:extLst>
        </xdr:cNvPr>
        <xdr:cNvSpPr txBox="1"/>
      </xdr:nvSpPr>
      <xdr:spPr>
        <a:xfrm>
          <a:off x="592666" y="1937926"/>
          <a:ext cx="874889"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lgerian" panose="04020705040A02060702" pitchFamily="82" charset="0"/>
            </a:rPr>
            <a:t>BOOKS</a:t>
          </a:r>
        </a:p>
      </xdr:txBody>
    </xdr:sp>
    <xdr:clientData/>
  </xdr:twoCellAnchor>
  <xdr:twoCellAnchor>
    <xdr:from>
      <xdr:col>0</xdr:col>
      <xdr:colOff>415525</xdr:colOff>
      <xdr:row>25</xdr:row>
      <xdr:rowOff>52023</xdr:rowOff>
    </xdr:from>
    <xdr:to>
      <xdr:col>2</xdr:col>
      <xdr:colOff>285985</xdr:colOff>
      <xdr:row>39</xdr:row>
      <xdr:rowOff>6303</xdr:rowOff>
    </xdr:to>
    <xdr:sp macro="" textlink="">
      <xdr:nvSpPr>
        <xdr:cNvPr id="9" name="Rectangle: Rounded Corners 8">
          <a:extLst>
            <a:ext uri="{FF2B5EF4-FFF2-40B4-BE49-F238E27FC236}">
              <a16:creationId xmlns:a16="http://schemas.microsoft.com/office/drawing/2014/main" id="{745D5FF7-BB39-4176-871D-E22CF550702F}"/>
            </a:ext>
          </a:extLst>
        </xdr:cNvPr>
        <xdr:cNvSpPr/>
      </xdr:nvSpPr>
      <xdr:spPr>
        <a:xfrm>
          <a:off x="415525" y="4520542"/>
          <a:ext cx="1093423" cy="2456650"/>
        </a:xfrm>
        <a:prstGeom prst="roundRect">
          <a:avLst>
            <a:gd name="adj" fmla="val 16385"/>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26</xdr:row>
      <xdr:rowOff>9407</xdr:rowOff>
    </xdr:from>
    <xdr:to>
      <xdr:col>2</xdr:col>
      <xdr:colOff>395111</xdr:colOff>
      <xdr:row>28</xdr:row>
      <xdr:rowOff>65851</xdr:rowOff>
    </xdr:to>
    <xdr:sp macro="" textlink="">
      <xdr:nvSpPr>
        <xdr:cNvPr id="10" name="TextBox 9">
          <a:extLst>
            <a:ext uri="{FF2B5EF4-FFF2-40B4-BE49-F238E27FC236}">
              <a16:creationId xmlns:a16="http://schemas.microsoft.com/office/drawing/2014/main" id="{E2748D55-8144-6DF1-6AE2-67021BCAB32C}"/>
            </a:ext>
          </a:extLst>
        </xdr:cNvPr>
        <xdr:cNvSpPr txBox="1"/>
      </xdr:nvSpPr>
      <xdr:spPr>
        <a:xfrm>
          <a:off x="611481" y="4656666"/>
          <a:ext cx="1006593" cy="41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lgerian" panose="04020705040A02060702" pitchFamily="82" charset="0"/>
            </a:rPr>
            <a:t>FOOD</a:t>
          </a:r>
        </a:p>
      </xdr:txBody>
    </xdr:sp>
    <xdr:clientData/>
  </xdr:twoCellAnchor>
  <xdr:twoCellAnchor>
    <xdr:from>
      <xdr:col>0</xdr:col>
      <xdr:colOff>442148</xdr:colOff>
      <xdr:row>41</xdr:row>
      <xdr:rowOff>9408</xdr:rowOff>
    </xdr:from>
    <xdr:to>
      <xdr:col>2</xdr:col>
      <xdr:colOff>310444</xdr:colOff>
      <xdr:row>44</xdr:row>
      <xdr:rowOff>65851</xdr:rowOff>
    </xdr:to>
    <xdr:sp macro="" textlink="">
      <xdr:nvSpPr>
        <xdr:cNvPr id="13" name="TextBox 12">
          <a:extLst>
            <a:ext uri="{FF2B5EF4-FFF2-40B4-BE49-F238E27FC236}">
              <a16:creationId xmlns:a16="http://schemas.microsoft.com/office/drawing/2014/main" id="{C061E188-4002-9690-1C17-09DE6EC21902}"/>
            </a:ext>
          </a:extLst>
        </xdr:cNvPr>
        <xdr:cNvSpPr txBox="1"/>
      </xdr:nvSpPr>
      <xdr:spPr>
        <a:xfrm>
          <a:off x="442148" y="7337778"/>
          <a:ext cx="1091259"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lgerian" panose="04020705040A02060702" pitchFamily="82" charset="0"/>
            </a:rPr>
            <a:t>TEACHER</a:t>
          </a:r>
        </a:p>
      </xdr:txBody>
    </xdr:sp>
    <xdr:clientData/>
  </xdr:twoCellAnchor>
  <xdr:twoCellAnchor editAs="oneCell">
    <xdr:from>
      <xdr:col>0</xdr:col>
      <xdr:colOff>498593</xdr:colOff>
      <xdr:row>12</xdr:row>
      <xdr:rowOff>141110</xdr:rowOff>
    </xdr:from>
    <xdr:to>
      <xdr:col>2</xdr:col>
      <xdr:colOff>329259</xdr:colOff>
      <xdr:row>23</xdr:row>
      <xdr:rowOff>75259</xdr:rowOff>
    </xdr:to>
    <xdr:pic>
      <xdr:nvPicPr>
        <xdr:cNvPr id="19" name="Picture 18">
          <a:extLst>
            <a:ext uri="{FF2B5EF4-FFF2-40B4-BE49-F238E27FC236}">
              <a16:creationId xmlns:a16="http://schemas.microsoft.com/office/drawing/2014/main" id="{41877080-4B02-FFD8-F20A-19C0CD4041B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8593" y="2285999"/>
          <a:ext cx="1053629" cy="1900297"/>
        </a:xfrm>
        <a:prstGeom prst="rect">
          <a:avLst/>
        </a:prstGeom>
        <a:ln>
          <a:noFill/>
        </a:ln>
        <a:effectLst>
          <a:softEdge rad="112500"/>
        </a:effectLst>
      </xdr:spPr>
    </xdr:pic>
    <xdr:clientData/>
  </xdr:twoCellAnchor>
  <xdr:twoCellAnchor editAs="oneCell">
    <xdr:from>
      <xdr:col>0</xdr:col>
      <xdr:colOff>404518</xdr:colOff>
      <xdr:row>28</xdr:row>
      <xdr:rowOff>37629</xdr:rowOff>
    </xdr:from>
    <xdr:to>
      <xdr:col>2</xdr:col>
      <xdr:colOff>310444</xdr:colOff>
      <xdr:row>38</xdr:row>
      <xdr:rowOff>98072</xdr:rowOff>
    </xdr:to>
    <xdr:pic>
      <xdr:nvPicPr>
        <xdr:cNvPr id="22" name="Picture 21">
          <a:extLst>
            <a:ext uri="{FF2B5EF4-FFF2-40B4-BE49-F238E27FC236}">
              <a16:creationId xmlns:a16="http://schemas.microsoft.com/office/drawing/2014/main" id="{8A7732A3-5A7D-EC78-F143-7FB9CE16B33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04518" y="5042370"/>
          <a:ext cx="1128889" cy="1847850"/>
        </a:xfrm>
        <a:prstGeom prst="rect">
          <a:avLst/>
        </a:prstGeom>
        <a:ln>
          <a:noFill/>
        </a:ln>
        <a:effectLst>
          <a:softEdge rad="112500"/>
        </a:effectLst>
      </xdr:spPr>
    </xdr:pic>
    <xdr:clientData/>
  </xdr:twoCellAnchor>
  <xdr:twoCellAnchor editAs="oneCell">
    <xdr:from>
      <xdr:col>0</xdr:col>
      <xdr:colOff>376296</xdr:colOff>
      <xdr:row>43</xdr:row>
      <xdr:rowOff>47036</xdr:rowOff>
    </xdr:from>
    <xdr:to>
      <xdr:col>2</xdr:col>
      <xdr:colOff>310444</xdr:colOff>
      <xdr:row>54</xdr:row>
      <xdr:rowOff>37629</xdr:rowOff>
    </xdr:to>
    <xdr:pic>
      <xdr:nvPicPr>
        <xdr:cNvPr id="24" name="Picture 23">
          <a:extLst>
            <a:ext uri="{FF2B5EF4-FFF2-40B4-BE49-F238E27FC236}">
              <a16:creationId xmlns:a16="http://schemas.microsoft.com/office/drawing/2014/main" id="{D08CBF68-1BC5-93DC-565A-4F1FC3F132B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76296" y="7732888"/>
          <a:ext cx="1157111" cy="1956741"/>
        </a:xfrm>
        <a:prstGeom prst="rect">
          <a:avLst/>
        </a:prstGeom>
        <a:ln>
          <a:noFill/>
        </a:ln>
        <a:effectLst>
          <a:softEdge rad="112500"/>
        </a:effectLst>
      </xdr:spPr>
    </xdr:pic>
    <xdr:clientData/>
  </xdr:twoCellAnchor>
  <xdr:twoCellAnchor editAs="oneCell">
    <xdr:from>
      <xdr:col>18</xdr:col>
      <xdr:colOff>423332</xdr:colOff>
      <xdr:row>2</xdr:row>
      <xdr:rowOff>94074</xdr:rowOff>
    </xdr:from>
    <xdr:to>
      <xdr:col>22</xdr:col>
      <xdr:colOff>84666</xdr:colOff>
      <xdr:row>8</xdr:row>
      <xdr:rowOff>56445</xdr:rowOff>
    </xdr:to>
    <xdr:pic>
      <xdr:nvPicPr>
        <xdr:cNvPr id="26" name="Picture 25">
          <a:extLst>
            <a:ext uri="{FF2B5EF4-FFF2-40B4-BE49-F238E27FC236}">
              <a16:creationId xmlns:a16="http://schemas.microsoft.com/office/drawing/2014/main" id="{123DD620-34CF-BCE2-BAE4-D592BE539CB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429999" y="451555"/>
          <a:ext cx="2107260" cy="1034816"/>
        </a:xfrm>
        <a:prstGeom prst="rect">
          <a:avLst/>
        </a:prstGeom>
        <a:ln>
          <a:noFill/>
        </a:ln>
        <a:effectLst>
          <a:softEdge rad="112500"/>
        </a:effectLst>
      </xdr:spPr>
    </xdr:pic>
    <xdr:clientData/>
  </xdr:twoCellAnchor>
  <xdr:twoCellAnchor editAs="oneCell">
    <xdr:from>
      <xdr:col>1</xdr:col>
      <xdr:colOff>122297</xdr:colOff>
      <xdr:row>2</xdr:row>
      <xdr:rowOff>65852</xdr:rowOff>
    </xdr:from>
    <xdr:to>
      <xdr:col>5</xdr:col>
      <xdr:colOff>28223</xdr:colOff>
      <xdr:row>8</xdr:row>
      <xdr:rowOff>103714</xdr:rowOff>
    </xdr:to>
    <xdr:pic>
      <xdr:nvPicPr>
        <xdr:cNvPr id="28" name="Picture 27">
          <a:extLst>
            <a:ext uri="{FF2B5EF4-FFF2-40B4-BE49-F238E27FC236}">
              <a16:creationId xmlns:a16="http://schemas.microsoft.com/office/drawing/2014/main" id="{FE2F5F8E-8167-6B1A-8C67-D8D5D7785D1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33778" y="423333"/>
          <a:ext cx="2351852" cy="1110307"/>
        </a:xfrm>
        <a:prstGeom prst="rect">
          <a:avLst/>
        </a:prstGeom>
        <a:ln>
          <a:noFill/>
        </a:ln>
        <a:effectLst>
          <a:softEdge rad="112500"/>
        </a:effectLst>
      </xdr:spPr>
    </xdr:pic>
    <xdr:clientData/>
  </xdr:twoCellAnchor>
  <xdr:twoCellAnchor>
    <xdr:from>
      <xdr:col>10</xdr:col>
      <xdr:colOff>592666</xdr:colOff>
      <xdr:row>25</xdr:row>
      <xdr:rowOff>94073</xdr:rowOff>
    </xdr:from>
    <xdr:to>
      <xdr:col>14</xdr:col>
      <xdr:colOff>517407</xdr:colOff>
      <xdr:row>27</xdr:row>
      <xdr:rowOff>18815</xdr:rowOff>
    </xdr:to>
    <xdr:sp macro="" textlink="">
      <xdr:nvSpPr>
        <xdr:cNvPr id="29" name="TextBox 28">
          <a:extLst>
            <a:ext uri="{FF2B5EF4-FFF2-40B4-BE49-F238E27FC236}">
              <a16:creationId xmlns:a16="http://schemas.microsoft.com/office/drawing/2014/main" id="{DC4D6CAA-1A1A-963D-8536-EE5B75322EB8}"/>
            </a:ext>
          </a:extLst>
        </xdr:cNvPr>
        <xdr:cNvSpPr txBox="1"/>
      </xdr:nvSpPr>
      <xdr:spPr>
        <a:xfrm>
          <a:off x="6707481" y="4562592"/>
          <a:ext cx="2370667"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effectLst/>
              <a:latin typeface="Aharoni" panose="02010803020104030203" pitchFamily="2" charset="-79"/>
              <a:ea typeface="+mn-ea"/>
              <a:cs typeface="Aharoni" panose="02010803020104030203" pitchFamily="2" charset="-79"/>
            </a:rPr>
            <a:t>Count of Food Items</a:t>
          </a:r>
          <a:endParaRPr lang="en-IN" sz="1600">
            <a:solidFill>
              <a:schemeClr val="bg1"/>
            </a:solidFill>
            <a:latin typeface="Aharoni" panose="02010803020104030203" pitchFamily="2" charset="-79"/>
            <a:cs typeface="Aharoni" panose="02010803020104030203" pitchFamily="2" charset="-79"/>
          </a:endParaRPr>
        </a:p>
      </xdr:txBody>
    </xdr:sp>
    <xdr:clientData/>
  </xdr:twoCellAnchor>
  <xdr:twoCellAnchor>
    <xdr:from>
      <xdr:col>9</xdr:col>
      <xdr:colOff>177924</xdr:colOff>
      <xdr:row>42</xdr:row>
      <xdr:rowOff>122296</xdr:rowOff>
    </xdr:from>
    <xdr:to>
      <xdr:col>16</xdr:col>
      <xdr:colOff>131704</xdr:colOff>
      <xdr:row>55</xdr:row>
      <xdr:rowOff>39779</xdr:rowOff>
    </xdr:to>
    <xdr:graphicFrame macro="">
      <xdr:nvGraphicFramePr>
        <xdr:cNvPr id="30" name="Chart 29">
          <a:extLst>
            <a:ext uri="{FF2B5EF4-FFF2-40B4-BE49-F238E27FC236}">
              <a16:creationId xmlns:a16="http://schemas.microsoft.com/office/drawing/2014/main" id="{0D980924-221D-43ED-BB0E-69E8D380E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197555</xdr:colOff>
      <xdr:row>40</xdr:row>
      <xdr:rowOff>112889</xdr:rowOff>
    </xdr:from>
    <xdr:to>
      <xdr:col>15</xdr:col>
      <xdr:colOff>178741</xdr:colOff>
      <xdr:row>43</xdr:row>
      <xdr:rowOff>122296</xdr:rowOff>
    </xdr:to>
    <xdr:sp macro="" textlink="">
      <xdr:nvSpPr>
        <xdr:cNvPr id="31" name="TextBox 30">
          <a:extLst>
            <a:ext uri="{FF2B5EF4-FFF2-40B4-BE49-F238E27FC236}">
              <a16:creationId xmlns:a16="http://schemas.microsoft.com/office/drawing/2014/main" id="{FB5C892D-77FC-D954-4CAA-A18098382516}"/>
            </a:ext>
          </a:extLst>
        </xdr:cNvPr>
        <xdr:cNvSpPr txBox="1"/>
      </xdr:nvSpPr>
      <xdr:spPr>
        <a:xfrm>
          <a:off x="6312370" y="7262519"/>
          <a:ext cx="3038593" cy="545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haroni" panose="02010803020104030203" pitchFamily="2" charset="-79"/>
              <a:cs typeface="Aharoni" panose="02010803020104030203" pitchFamily="2" charset="-79"/>
            </a:rPr>
            <a:t>Compartion</a:t>
          </a:r>
          <a:r>
            <a:rPr lang="en-IN" sz="1600" baseline="0">
              <a:solidFill>
                <a:schemeClr val="bg1"/>
              </a:solidFill>
              <a:latin typeface="Aharoni" panose="02010803020104030203" pitchFamily="2" charset="-79"/>
              <a:cs typeface="Aharoni" panose="02010803020104030203" pitchFamily="2" charset="-79"/>
            </a:rPr>
            <a:t> of Required Assigned &amp; Needed Teachers</a:t>
          </a:r>
          <a:endParaRPr lang="en-IN" sz="1600">
            <a:solidFill>
              <a:schemeClr val="bg1"/>
            </a:solidFill>
            <a:latin typeface="Aharoni" panose="02010803020104030203" pitchFamily="2" charset="-79"/>
            <a:cs typeface="Aharoni" panose="02010803020104030203" pitchFamily="2" charset="-79"/>
          </a:endParaRPr>
        </a:p>
      </xdr:txBody>
    </xdr:sp>
    <xdr:clientData/>
  </xdr:twoCellAnchor>
  <xdr:twoCellAnchor>
    <xdr:from>
      <xdr:col>16</xdr:col>
      <xdr:colOff>282223</xdr:colOff>
      <xdr:row>40</xdr:row>
      <xdr:rowOff>131704</xdr:rowOff>
    </xdr:from>
    <xdr:to>
      <xdr:col>22</xdr:col>
      <xdr:colOff>75260</xdr:colOff>
      <xdr:row>54</xdr:row>
      <xdr:rowOff>162306</xdr:rowOff>
    </xdr:to>
    <xdr:graphicFrame macro="">
      <xdr:nvGraphicFramePr>
        <xdr:cNvPr id="32" name="Chart 31">
          <a:extLst>
            <a:ext uri="{FF2B5EF4-FFF2-40B4-BE49-F238E27FC236}">
              <a16:creationId xmlns:a16="http://schemas.microsoft.com/office/drawing/2014/main" id="{0CAC3675-0251-45C8-8B84-A00204E3D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0</xdr:colOff>
      <xdr:row>2</xdr:row>
      <xdr:rowOff>131885</xdr:rowOff>
    </xdr:from>
    <xdr:to>
      <xdr:col>26</xdr:col>
      <xdr:colOff>512885</xdr:colOff>
      <xdr:row>55</xdr:row>
      <xdr:rowOff>14654</xdr:rowOff>
    </xdr:to>
    <xdr:sp macro="" textlink="">
      <xdr:nvSpPr>
        <xdr:cNvPr id="34" name="Rectangle: Rounded Corners 8">
          <a:extLst>
            <a:ext uri="{FF2B5EF4-FFF2-40B4-BE49-F238E27FC236}">
              <a16:creationId xmlns:a16="http://schemas.microsoft.com/office/drawing/2014/main" id="{EA64EFF7-4E05-47D9-8047-C5BACB799A33}"/>
            </a:ext>
          </a:extLst>
        </xdr:cNvPr>
        <xdr:cNvSpPr/>
      </xdr:nvSpPr>
      <xdr:spPr>
        <a:xfrm>
          <a:off x="14155615" y="483577"/>
          <a:ext cx="2359270" cy="9202615"/>
        </a:xfrm>
        <a:prstGeom prst="roundRect">
          <a:avLst>
            <a:gd name="adj" fmla="val 7376"/>
          </a:avLst>
        </a:prstGeom>
        <a:solidFill>
          <a:schemeClr val="tx2">
            <a:lumMod val="90000"/>
            <a:lumOff val="10000"/>
          </a:schemeClr>
        </a:solidFill>
        <a:ln>
          <a:noFill/>
        </a:ln>
        <a:effectLst>
          <a:glow rad="101600">
            <a:schemeClr val="accent4">
              <a:satMod val="175000"/>
              <a:alpha val="40000"/>
            </a:schemeClr>
          </a:glow>
          <a:outerShdw blurRad="63500" sx="102000" sy="102000" algn="ctr"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249116</xdr:colOff>
      <xdr:row>8</xdr:row>
      <xdr:rowOff>73271</xdr:rowOff>
    </xdr:from>
    <xdr:to>
      <xdr:col>26</xdr:col>
      <xdr:colOff>231531</xdr:colOff>
      <xdr:row>23</xdr:row>
      <xdr:rowOff>16853</xdr:rowOff>
    </xdr:to>
    <mc:AlternateContent xmlns:mc="http://schemas.openxmlformats.org/markup-compatibility/2006" xmlns:a14="http://schemas.microsoft.com/office/drawing/2010/main">
      <mc:Choice Requires="a14">
        <xdr:graphicFrame macro="">
          <xdr:nvGraphicFramePr>
            <xdr:cNvPr id="35" name="Subject">
              <a:extLst>
                <a:ext uri="{FF2B5EF4-FFF2-40B4-BE49-F238E27FC236}">
                  <a16:creationId xmlns:a16="http://schemas.microsoft.com/office/drawing/2014/main" id="{B6E3F8DE-904E-4AF4-9746-A3AD9148AE6A}"/>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4404731" y="1480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249115</xdr:colOff>
      <xdr:row>24</xdr:row>
      <xdr:rowOff>0</xdr:rowOff>
    </xdr:from>
    <xdr:to>
      <xdr:col>26</xdr:col>
      <xdr:colOff>231530</xdr:colOff>
      <xdr:row>38</xdr:row>
      <xdr:rowOff>119429</xdr:rowOff>
    </xdr:to>
    <mc:AlternateContent xmlns:mc="http://schemas.openxmlformats.org/markup-compatibility/2006" xmlns:a14="http://schemas.microsoft.com/office/drawing/2010/main">
      <mc:Choice Requires="a14">
        <xdr:graphicFrame macro="">
          <xdr:nvGraphicFramePr>
            <xdr:cNvPr id="37" name="Food Items">
              <a:extLst>
                <a:ext uri="{FF2B5EF4-FFF2-40B4-BE49-F238E27FC236}">
                  <a16:creationId xmlns:a16="http://schemas.microsoft.com/office/drawing/2014/main" id="{A46ECB6B-D15F-4E4A-9F66-78B515C7610A}"/>
                </a:ext>
              </a:extLst>
            </xdr:cNvPr>
            <xdr:cNvGraphicFramePr/>
          </xdr:nvGraphicFramePr>
          <xdr:xfrm>
            <a:off x="0" y="0"/>
            <a:ext cx="0" cy="0"/>
          </xdr:xfrm>
          <a:graphic>
            <a:graphicData uri="http://schemas.microsoft.com/office/drawing/2010/slicer">
              <sle:slicer xmlns:sle="http://schemas.microsoft.com/office/drawing/2010/slicer" name="Food Items"/>
            </a:graphicData>
          </a:graphic>
        </xdr:graphicFrame>
      </mc:Choice>
      <mc:Fallback xmlns="">
        <xdr:sp macro="" textlink="">
          <xdr:nvSpPr>
            <xdr:cNvPr id="0" name=""/>
            <xdr:cNvSpPr>
              <a:spLocks noTextEdit="1"/>
            </xdr:cNvSpPr>
          </xdr:nvSpPr>
          <xdr:spPr>
            <a:xfrm>
              <a:off x="14404730" y="42203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278423</xdr:colOff>
      <xdr:row>39</xdr:row>
      <xdr:rowOff>117231</xdr:rowOff>
    </xdr:from>
    <xdr:to>
      <xdr:col>26</xdr:col>
      <xdr:colOff>260838</xdr:colOff>
      <xdr:row>54</xdr:row>
      <xdr:rowOff>60814</xdr:rowOff>
    </xdr:to>
    <mc:AlternateContent xmlns:mc="http://schemas.openxmlformats.org/markup-compatibility/2006" xmlns:a14="http://schemas.microsoft.com/office/drawing/2010/main">
      <mc:Choice Requires="a14">
        <xdr:graphicFrame macro="">
          <xdr:nvGraphicFramePr>
            <xdr:cNvPr id="38" name="Teacher   shortage  status">
              <a:extLst>
                <a:ext uri="{FF2B5EF4-FFF2-40B4-BE49-F238E27FC236}">
                  <a16:creationId xmlns:a16="http://schemas.microsoft.com/office/drawing/2014/main" id="{14BF7942-6EF9-4B43-8B02-6E0C1D4D4AC5}"/>
                </a:ext>
              </a:extLst>
            </xdr:cNvPr>
            <xdr:cNvGraphicFramePr/>
          </xdr:nvGraphicFramePr>
          <xdr:xfrm>
            <a:off x="0" y="0"/>
            <a:ext cx="0" cy="0"/>
          </xdr:xfrm>
          <a:graphic>
            <a:graphicData uri="http://schemas.microsoft.com/office/drawing/2010/slicer">
              <sle:slicer xmlns:sle="http://schemas.microsoft.com/office/drawing/2010/slicer" name="Teacher   shortage  status"/>
            </a:graphicData>
          </a:graphic>
        </xdr:graphicFrame>
      </mc:Choice>
      <mc:Fallback xmlns="">
        <xdr:sp macro="" textlink="">
          <xdr:nvSpPr>
            <xdr:cNvPr id="0" name=""/>
            <xdr:cNvSpPr>
              <a:spLocks noTextEdit="1"/>
            </xdr:cNvSpPr>
          </xdr:nvSpPr>
          <xdr:spPr>
            <a:xfrm>
              <a:off x="14434038" y="697523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395654</xdr:colOff>
      <xdr:row>3</xdr:row>
      <xdr:rowOff>146539</xdr:rowOff>
    </xdr:from>
    <xdr:to>
      <xdr:col>26</xdr:col>
      <xdr:colOff>293076</xdr:colOff>
      <xdr:row>6</xdr:row>
      <xdr:rowOff>161192</xdr:rowOff>
    </xdr:to>
    <xdr:sp macro="" textlink="">
      <xdr:nvSpPr>
        <xdr:cNvPr id="39" name="TextBox 38">
          <a:extLst>
            <a:ext uri="{FF2B5EF4-FFF2-40B4-BE49-F238E27FC236}">
              <a16:creationId xmlns:a16="http://schemas.microsoft.com/office/drawing/2014/main" id="{EE155A7D-F543-F190-BD66-384B70B639D4}"/>
            </a:ext>
          </a:extLst>
        </xdr:cNvPr>
        <xdr:cNvSpPr txBox="1"/>
      </xdr:nvSpPr>
      <xdr:spPr>
        <a:xfrm>
          <a:off x="14551269" y="674077"/>
          <a:ext cx="1743807"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Algerian" panose="04020705040A02060702" pitchFamily="82" charset="0"/>
              <a:cs typeface="Aharoni" panose="02010803020104030203" pitchFamily="2" charset="-79"/>
            </a:rPr>
            <a:t>SLICERS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0.0859</cdr:x>
      <cdr:y>0.13844</cdr:y>
    </cdr:from>
    <cdr:to>
      <cdr:x>0.33207</cdr:x>
      <cdr:y>0.51181</cdr:y>
    </cdr:to>
    <cdr:sp macro="" textlink="">
      <cdr:nvSpPr>
        <cdr:cNvPr id="3" name="TextBox 2">
          <a:extLst xmlns:a="http://schemas.openxmlformats.org/drawingml/2006/main">
            <a:ext uri="{FF2B5EF4-FFF2-40B4-BE49-F238E27FC236}">
              <a16:creationId xmlns:a16="http://schemas.microsoft.com/office/drawing/2014/main" id="{386E9232-6339-ACF7-8956-87EBE0359B0C}"/>
            </a:ext>
          </a:extLst>
        </cdr:cNvPr>
        <cdr:cNvSpPr txBox="1"/>
      </cdr:nvSpPr>
      <cdr:spPr>
        <a:xfrm xmlns:a="http://schemas.openxmlformats.org/drawingml/2006/main">
          <a:off x="319099" y="33904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0.04285</cdr:x>
      <cdr:y>0.06546</cdr:y>
    </cdr:from>
    <cdr:to>
      <cdr:x>0.94444</cdr:x>
      <cdr:y>0.26904</cdr:y>
    </cdr:to>
    <cdr:sp macro="" textlink="">
      <cdr:nvSpPr>
        <cdr:cNvPr id="4" name="TextBox 3">
          <a:extLst xmlns:a="http://schemas.openxmlformats.org/drawingml/2006/main">
            <a:ext uri="{FF2B5EF4-FFF2-40B4-BE49-F238E27FC236}">
              <a16:creationId xmlns:a16="http://schemas.microsoft.com/office/drawing/2014/main" id="{143EA9D7-81FA-D716-6E42-43FD3777EDAB}"/>
            </a:ext>
          </a:extLst>
        </cdr:cNvPr>
        <cdr:cNvSpPr txBox="1"/>
      </cdr:nvSpPr>
      <cdr:spPr>
        <a:xfrm xmlns:a="http://schemas.openxmlformats.org/drawingml/2006/main">
          <a:off x="159172" y="160302"/>
          <a:ext cx="3349038" cy="49859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bg1"/>
              </a:solidFill>
              <a:effectLst>
                <a:outerShdw blurRad="50800" dist="38100" dir="5400000" algn="t" rotWithShape="0">
                  <a:srgbClr val="000000">
                    <a:alpha val="40000"/>
                  </a:srgbClr>
                </a:outerShdw>
              </a:effectLst>
              <a:latin typeface="Aharoni" panose="02010803020104030203" pitchFamily="2" charset="-79"/>
              <a:ea typeface="+mn-ea"/>
              <a:cs typeface="Aharoni" panose="02010803020104030203" pitchFamily="2" charset="-79"/>
            </a:rPr>
            <a:t>Count of Teacher shortage status</a:t>
          </a:r>
          <a:endParaRPr lang="en-IN" sz="1600">
            <a:solidFill>
              <a:schemeClr val="bg1"/>
            </a:solidFill>
            <a:effectLst/>
            <a:latin typeface="Aharoni" panose="02010803020104030203" pitchFamily="2" charset="-79"/>
            <a:cs typeface="Aharoni" panose="02010803020104030203" pitchFamily="2" charset="-79"/>
          </a:endParaRPr>
        </a:p>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0.15761</cdr:x>
      <cdr:y>0.07428</cdr:y>
    </cdr:from>
    <cdr:to>
      <cdr:x>0.96739</cdr:x>
      <cdr:y>0.21541</cdr:y>
    </cdr:to>
    <cdr:sp macro="" textlink="">
      <cdr:nvSpPr>
        <cdr:cNvPr id="3" name="TextBox 2">
          <a:extLst xmlns:a="http://schemas.openxmlformats.org/drawingml/2006/main">
            <a:ext uri="{FF2B5EF4-FFF2-40B4-BE49-F238E27FC236}">
              <a16:creationId xmlns:a16="http://schemas.microsoft.com/office/drawing/2014/main" id="{C67EA784-8AC0-5ACE-313C-3B2FDFCD7241}"/>
            </a:ext>
          </a:extLst>
        </cdr:cNvPr>
        <cdr:cNvSpPr txBox="1"/>
      </cdr:nvSpPr>
      <cdr:spPr>
        <a:xfrm xmlns:a="http://schemas.openxmlformats.org/drawingml/2006/main">
          <a:off x="545629" y="188147"/>
          <a:ext cx="2803407" cy="35748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US" sz="1600">
              <a:solidFill>
                <a:schemeClr val="bg1"/>
              </a:solidFill>
              <a:effectLst/>
              <a:latin typeface="Aharoni" panose="02010803020104030203" pitchFamily="2" charset="-79"/>
              <a:cs typeface="Aharoni" panose="02010803020104030203" pitchFamily="2" charset="-79"/>
            </a:rPr>
            <a:t>Sum of Teacher Needed</a:t>
          </a:r>
          <a:endParaRPr lang="en-IN" sz="1600" kern="1200">
            <a:solidFill>
              <a:schemeClr val="bg1"/>
            </a:solidFill>
            <a:latin typeface="Aharoni" panose="02010803020104030203" pitchFamily="2" charset="-79"/>
            <a:cs typeface="Aharoni" panose="02010803020104030203" pitchFamily="2" charset="-79"/>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3" refreshedDate="45867.436694675926" createdVersion="8" refreshedVersion="8" minRefreshableVersion="3" recordCount="20" xr:uid="{92A3704E-8755-47C3-B134-0C0C8084460F}">
  <cacheSource type="worksheet">
    <worksheetSource name="Food_items"/>
  </cacheSource>
  <cacheFields count="8">
    <cacheField name="Food Items" numFmtId="0">
      <sharedItems count="20">
        <s v="Rice"/>
        <s v="Dal"/>
        <s v="Oil"/>
        <s v="Salt"/>
        <s v="Vegetables"/>
        <s v="Wheat Flour"/>
        <s v="Sugar"/>
        <s v="Milk"/>
        <s v="Butter"/>
        <s v="Tea Leaves"/>
        <s v="Spices"/>
        <s v="Biscuits"/>
        <s v="Fruits"/>
        <s v="Onions"/>
        <s v="Potatoes"/>
        <s v="Tomatoes"/>
        <s v="Green Peas"/>
        <s v="Garlic"/>
        <s v="Ginger"/>
        <s v="Chillies"/>
      </sharedItems>
    </cacheField>
    <cacheField name="Total Quantity" numFmtId="0">
      <sharedItems count="17">
        <s v="100 kg"/>
        <s v="50 kg"/>
        <s v="30 litre"/>
        <s v="10 kg"/>
        <s v="40 kg"/>
        <s v="80 kg"/>
        <s v="25 kg"/>
        <s v="60 litre"/>
        <s v="5 kg"/>
        <s v="8 kg"/>
        <s v="50 packs"/>
        <s v="35 kg"/>
        <s v="45 kg"/>
        <s v="60 kg"/>
        <s v="30 kg"/>
        <s v="4 kg"/>
        <s v="6 kg"/>
      </sharedItems>
    </cacheField>
    <cacheField name="Available Quantity" numFmtId="0">
      <sharedItems containsSemiMixedTypes="0" containsString="0" containsNumber="1" containsInteger="1" minValue="1" maxValue="40" count="17">
        <n v="15"/>
        <n v="25"/>
        <n v="5"/>
        <n v="7"/>
        <n v="18"/>
        <n v="22"/>
        <n v="12"/>
        <n v="40"/>
        <n v="3"/>
        <n v="2"/>
        <n v="4"/>
        <n v="20"/>
        <n v="10"/>
        <n v="8"/>
        <n v="6"/>
        <n v="13"/>
        <n v="1"/>
      </sharedItems>
    </cacheField>
    <cacheField name="Minimum Threshold" numFmtId="0">
      <sharedItems containsSemiMixedTypes="0" containsString="0" containsNumber="1" containsInteger="1" minValue="2" maxValue="30"/>
    </cacheField>
    <cacheField name="Last  Updated" numFmtId="14">
      <sharedItems containsSemiMixedTypes="0" containsNonDate="0" containsDate="1" containsString="0" minDate="2025-07-22T00:00:00" maxDate="2025-07-23T00:00:00" count="1">
        <d v="2025-07-22T00:00:00"/>
      </sharedItems>
    </cacheField>
    <cacheField name="Status" numFmtId="0">
      <sharedItems count="3">
        <s v="Below Minimum"/>
        <s v="OK"/>
        <s v="Formula1" f="1"/>
      </sharedItems>
    </cacheField>
    <cacheField name="Reodered Needed" numFmtId="0">
      <sharedItems count="2">
        <s v="Yes"/>
        <s v="No"/>
      </sharedItems>
    </cacheField>
    <cacheField name="Reoder Quantity" numFmtId="0">
      <sharedItems containsSemiMixedTypes="0" containsString="0" containsNumber="1" containsInteger="1" minValue="0" maxValue="10"/>
    </cacheField>
  </cacheFields>
  <calculatedItems count="1">
    <calculatedItem>
      <pivotArea cacheIndex="1" outline="0" fieldPosition="0">
        <references count="1">
          <reference field="5" count="1">
            <x v="2"/>
          </reference>
        </references>
      </pivotArea>
    </calculatedItem>
  </calculatedItems>
  <extLst>
    <ext xmlns:x14="http://schemas.microsoft.com/office/spreadsheetml/2009/9/main" uri="{725AE2AE-9491-48be-B2B4-4EB974FC3084}">
      <x14:pivotCacheDefinition pivotCacheId="1145539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82659490743" backgroundQuery="1" createdVersion="8" refreshedVersion="8" minRefreshableVersion="3" recordCount="0" supportSubquery="1" supportAdvancedDrill="1" xr:uid="{B1804561-1FA4-4B85-AD83-798F3C5D6DC1}">
  <cacheSource type="external" connectionId="4"/>
  <cacheFields count="2">
    <cacheField name="[Food_items].[Food Items].[Food Items]" caption="Food Items" numFmtId="0" hierarchy="7" level="1">
      <sharedItems count="20">
        <s v="Biscuits"/>
        <s v="Butter"/>
        <s v="Chillies"/>
        <s v="Dal"/>
        <s v="Fruits"/>
        <s v="Garlic"/>
        <s v="Ginger"/>
        <s v="Green Peas"/>
        <s v="Milk"/>
        <s v="Oil"/>
        <s v="Onions"/>
        <s v="Potatoes"/>
        <s v="Rice"/>
        <s v="Salt"/>
        <s v="Spices"/>
        <s v="Sugar"/>
        <s v="Tea Leaves"/>
        <s v="Tomatoes"/>
        <s v="Vegetables"/>
        <s v="Wheat Flour"/>
      </sharedItems>
    </cacheField>
    <cacheField name="[Measures].[Sum of Minimum Threshold]" caption="Sum of Minimum Threshold" numFmtId="0" hierarchy="30"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2" memberValueDatatype="130" unbalanced="0">
      <fieldsUsage count="2">
        <fieldUsage x="-1"/>
        <fieldUsage x="0"/>
      </fieldsUsage>
    </cacheHierarchy>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83294097219" backgroundQuery="1" createdVersion="8" refreshedVersion="8" minRefreshableVersion="3" recordCount="0" supportSubquery="1" supportAdvancedDrill="1" xr:uid="{BAE0C89F-D07E-4827-84A9-E03A11721753}">
  <cacheSource type="external" connectionId="4"/>
  <cacheFields count="2">
    <cacheField name="[Food_items].[Last  Updated].[Last  Updated]" caption="Last  Updated" numFmtId="0" hierarchy="11" level="1">
      <sharedItems containsSemiMixedTypes="0" containsNonDate="0" containsDate="1" containsString="0" minDate="2025-07-22T00:00:00" maxDate="2025-07-23T00:00:00" count="1">
        <d v="2025-07-22T00:00:00"/>
      </sharedItems>
    </cacheField>
    <cacheField name="[Measures].[Count of Food Items]" caption="Count of Food Items" numFmtId="0" hierarchy="31"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2" memberValueDatatype="7" unbalanced="0">
      <fieldsUsage count="2">
        <fieldUsage x="-1"/>
        <fieldUsage x="0"/>
      </fieldsUsage>
    </cacheHierarchy>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77931828704" backgroundQuery="1" createdVersion="8" refreshedVersion="8" minRefreshableVersion="3" recordCount="0" supportSubquery="1" supportAdvancedDrill="1" xr:uid="{60E64F41-66A9-47C5-986E-6870388FB10F}">
  <cacheSource type="external" connectionId="4"/>
  <cacheFields count="2">
    <cacheField name="[Book_details].[Subject].[Subject]" caption="Subject" numFmtId="0" hierarchy="3" level="1">
      <sharedItems count="14">
        <s v="Biology"/>
        <s v="Chemistry"/>
        <s v="Civics"/>
        <s v="Commerce"/>
        <s v="Computer"/>
        <s v="Economics"/>
        <s v="English"/>
        <s v="Geography"/>
        <s v="Hindi"/>
        <s v="History"/>
        <s v="Math"/>
        <s v="Physics"/>
        <s v="Science"/>
        <s v="Sociology"/>
      </sharedItems>
    </cacheField>
    <cacheField name="[Measures].[Sum of Books Needed]" caption="Sum of Books Needed" numFmtId="0" hierarchy="28"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2" memberValueDatatype="130" unbalanced="0">
      <fieldsUsage count="2">
        <fieldUsage x="-1"/>
        <fieldUsage x="0"/>
      </fieldsUsage>
    </cacheHierarchy>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78617129629" backgroundQuery="1" createdVersion="8" refreshedVersion="8" minRefreshableVersion="3" recordCount="0" supportSubquery="1" supportAdvancedDrill="1" xr:uid="{EAB25988-9243-4049-9B69-750F54F47F02}">
  <cacheSource type="external" connectionId="4"/>
  <cacheFields count="3">
    <cacheField name="[Book_details].[Author].[Author]" caption="Author" numFmtId="0" hierarchy="2" level="1">
      <sharedItems count="26">
        <s v="Bipan Chandra"/>
        <s v="C.N. Shankar Rao"/>
        <s v="Dornbusch &amp; Fischer"/>
        <s v="Dr. Vashishth"/>
        <s v="H.C. Verma"/>
        <s v="J.D. Lee"/>
        <s v="K. S. Randhawa"/>
        <s v="Kullar"/>
        <s v="Laxmi Publications"/>
        <s v="M. Laxmikanth"/>
        <s v="Morrison &amp; Boyd"/>
        <s v="NCERT"/>
        <s v="Norman Lewis"/>
        <s v="O.P. Tandon"/>
        <s v="Oswal Publishers"/>
        <s v="P.K. Sinha"/>
        <s v="Pradeep"/>
        <s v="R.D. Sharma"/>
        <s v="Rajeev Sharma"/>
        <s v="S.L. Loney"/>
        <s v="Spectrum"/>
        <s v="Sumita Arora"/>
        <s v="T.S. Grewal"/>
        <s v="Trueman"/>
        <s v="Vikas Gupta"/>
        <s v="Wren &amp; Martin"/>
      </sharedItems>
    </cacheField>
    <cacheField name="[Book_details].[Status].[Status]" caption="Status" numFmtId="0" hierarchy="4" level="1">
      <sharedItems count="2">
        <s v="Available"/>
        <s v="Issued"/>
      </sharedItems>
    </cacheField>
    <cacheField name="[Measures].[Count of Books]" caption="Count of Books" numFmtId="0" hierarchy="21"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2" memberValueDatatype="130" unbalanced="0">
      <fieldsUsage count="2">
        <fieldUsage x="-1"/>
        <fieldUsage x="0"/>
      </fieldsUsage>
    </cacheHierarchy>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2" memberValueDatatype="130" unbalanced="0">
      <fieldsUsage count="2">
        <fieldUsage x="-1"/>
        <fieldUsage x="1"/>
      </fieldsUsage>
    </cacheHierarchy>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82094791667" backgroundQuery="1" createdVersion="8" refreshedVersion="8" minRefreshableVersion="3" recordCount="0" supportSubquery="1" supportAdvancedDrill="1" xr:uid="{29F9BAC7-2993-4091-BC07-CA533B5FD943}">
  <cacheSource type="external" connectionId="4"/>
  <cacheFields count="2">
    <cacheField name="[Food_items].[Food Items].[Food Items]" caption="Food Items" numFmtId="0" hierarchy="7" level="1">
      <sharedItems count="20">
        <s v="Biscuits"/>
        <s v="Butter"/>
        <s v="Chillies"/>
        <s v="Dal"/>
        <s v="Fruits"/>
        <s v="Garlic"/>
        <s v="Ginger"/>
        <s v="Green Peas"/>
        <s v="Milk"/>
        <s v="Oil"/>
        <s v="Onions"/>
        <s v="Potatoes"/>
        <s v="Rice"/>
        <s v="Salt"/>
        <s v="Spices"/>
        <s v="Sugar"/>
        <s v="Tea Leaves"/>
        <s v="Tomatoes"/>
        <s v="Vegetables"/>
        <s v="Wheat Flour"/>
      </sharedItems>
    </cacheField>
    <cacheField name="[Measures].[Sum of Available Quantity]" caption="Sum of Available Quantity" numFmtId="0" hierarchy="29"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2" memberValueDatatype="130" unbalanced="0">
      <fieldsUsage count="2">
        <fieldUsage x="-1"/>
        <fieldUsage x="0"/>
      </fieldsUsage>
    </cacheHierarchy>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6.477568402777" backgroundQuery="1" createdVersion="8" refreshedVersion="8" minRefreshableVersion="3" recordCount="0" supportSubquery="1" supportAdvancedDrill="1" xr:uid="{E738B96E-2B13-480A-A4E1-88D606DF772E}">
  <cacheSource type="external" connectionId="4"/>
  <cacheFields count="2">
    <cacheField name="[Book_details].[Status].[Status]" caption="Status" numFmtId="0" hierarchy="4" level="1">
      <sharedItems count="2">
        <s v="Available"/>
        <s v="Issued"/>
      </sharedItems>
    </cacheField>
    <cacheField name="[Measures].[Count of Books]" caption="Count of Books" numFmtId="0" hierarchy="21"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2" memberValueDatatype="130" unbalanced="0">
      <fieldsUsage count="2">
        <fieldUsage x="-1"/>
        <fieldUsage x="0"/>
      </fieldsUsage>
    </cacheHierarchy>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 LAKSHMI YARRAMSETTI" refreshedDate="45867.430433449073" backgroundQuery="1" createdVersion="8" refreshedVersion="8" minRefreshableVersion="3" recordCount="0" supportSubquery="1" supportAdvancedDrill="1" xr:uid="{CF573ABE-7C27-42CA-9904-BB250E8B1DFD}">
  <cacheSource type="external" connectionId="4"/>
  <cacheFields count="4">
    <cacheField name="[Book_details].[Subject].[Subject]" caption="Subject" numFmtId="0" hierarchy="3" level="1">
      <sharedItems count="14">
        <s v="Biology"/>
        <s v="Chemistry"/>
        <s v="Civics"/>
        <s v="Commerce"/>
        <s v="Computer"/>
        <s v="Economics"/>
        <s v="English"/>
        <s v="Geography"/>
        <s v="Hindi"/>
        <s v="History"/>
        <s v="Math"/>
        <s v="Physics"/>
        <s v="Science"/>
        <s v="Sociology"/>
      </sharedItems>
    </cacheField>
    <cacheField name="[Measures].[Sum of Books Available]" caption="Sum of Books Available" numFmtId="0" hierarchy="27" level="32767"/>
    <cacheField name="[Measures].[Sum of Books Needed]" caption="Sum of Books Needed" numFmtId="0" hierarchy="28" level="32767"/>
    <cacheField name="[Book_details].[Books].[Books]" caption="Books" numFmtId="0" level="1">
      <sharedItems containsSemiMixedTypes="0" containsNonDate="0" containsString="0"/>
    </cacheField>
  </cacheFields>
  <cacheHierarchies count="32">
    <cacheHierarchy uniqueName="[Book_details].[Books]" caption="Books" attribute="1" defaultMemberUniqueName="[Book_details].[Books].[All]" allUniqueName="[Book_details].[Books].[All]" dimensionUniqueName="[Book_details]" displayFolder="" count="2" memberValueDatatype="130" unbalanced="0">
      <fieldsUsage count="2">
        <fieldUsage x="-1"/>
        <fieldUsage x="3"/>
      </fieldsUsage>
    </cacheHierarchy>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2" memberValueDatatype="130" unbalanced="0">
      <fieldsUsage count="2">
        <fieldUsage x="-1"/>
        <fieldUsage x="0"/>
      </fieldsUsage>
    </cacheHierarchy>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7.483671527778" backgroundQuery="1" createdVersion="8" refreshedVersion="8" minRefreshableVersion="3" recordCount="0" supportSubquery="1" supportAdvancedDrill="1" xr:uid="{3DC65AE1-E620-4DE4-B63C-868269F9619E}">
  <cacheSource type="external" connectionId="4"/>
  <cacheFields count="5">
    <cacheField name="[Measures].[Sum of Teachers Required]" caption="Sum of Teachers Required" numFmtId="0" hierarchy="23" level="32767"/>
    <cacheField name="[Measures].[Sum of Teachers Assigned]" caption="Sum of Teachers Assigned" numFmtId="0" hierarchy="24" level="32767"/>
    <cacheField name="[Measures].[Sum of Teacher Needed]" caption="Sum of Teacher Needed" numFmtId="0" hierarchy="25" level="32767"/>
    <cacheField name="[Teachers_availability].[Title].[Title]" caption="Title" numFmtId="0" hierarchy="12" level="1">
      <sharedItems containsSemiMixedTypes="0" containsNonDate="0" containsString="0"/>
    </cacheField>
    <cacheField name="[Teachers_availability].[Teacher Needed].[Teacher Needed]" caption="Teacher Needed" numFmtId="0" hierarchy="15" level="1">
      <sharedItems containsSemiMixedTypes="0" containsNonDate="0" containsString="0"/>
    </cacheField>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2" memberValueDatatype="130" unbalanced="0">
      <fieldsUsage count="2">
        <fieldUsage x="-1"/>
        <fieldUsage x="3"/>
      </fieldsUsage>
    </cacheHierarchy>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2" memberValueDatatype="20" unbalanced="0">
      <fieldsUsage count="2">
        <fieldUsage x="-1"/>
        <fieldUsage x="4"/>
      </fieldsUsage>
    </cacheHierarchy>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7.483673148148" backgroundQuery="1" createdVersion="8" refreshedVersion="8" minRefreshableVersion="3" recordCount="0" supportSubquery="1" supportAdvancedDrill="1" xr:uid="{DCA22B55-E66F-4662-84DE-94BDCB189377}">
  <cacheSource type="external" connectionId="4"/>
  <cacheFields count="3">
    <cacheField name="[Teachers_availability].[Title].[Title]" caption="Title" numFmtId="0" hierarchy="12" level="1">
      <sharedItems count="21">
        <s v="Accountancy"/>
        <s v="Art"/>
        <s v="Biology"/>
        <s v="Business Studies"/>
        <s v="Chemistry"/>
        <s v="Civics"/>
        <s v="Computer"/>
        <s v="Current affaris"/>
        <s v="Dance"/>
        <s v="Economics"/>
        <s v="English"/>
        <s v="Environmental Science"/>
        <s v="Geography"/>
        <s v="Hindi"/>
        <s v="History"/>
        <s v="Math"/>
        <s v="Music"/>
        <s v="Physical Education"/>
        <s v="Physics"/>
        <s v="Psychology"/>
        <s v="Sanskrit"/>
      </sharedItems>
    </cacheField>
    <cacheField name="[Measures].[Sum of Teachers Assigned]" caption="Sum of Teachers Assigned" numFmtId="0" hierarchy="24" level="32767"/>
    <cacheField name="[Measures].[Sum of Teacher Needed]" caption="Sum of Teacher Needed" numFmtId="0" hierarchy="25" level="32767"/>
  </cacheFields>
  <cacheHierarchies count="32">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2" memberValueDatatype="130" unbalanced="0">
      <fieldsUsage count="2">
        <fieldUsage x="-1"/>
        <fieldUsage x="0"/>
      </fieldsUsage>
    </cacheHierarchy>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hanya Bangaru" refreshedDate="45867.918641435186" backgroundQuery="1" createdVersion="8" refreshedVersion="8" minRefreshableVersion="3" recordCount="0" supportSubquery="1" supportAdvancedDrill="1" xr:uid="{64F4125B-FF21-4E46-80F4-27FD4F0229FF}">
  <cacheSource type="external" connectionId="4"/>
  <cacheFields count="2">
    <cacheField name="[Teachers_availability].[Title].[Title]" caption="Title" numFmtId="0" hierarchy="12" level="1">
      <sharedItems count="21">
        <s v="Accountancy"/>
        <s v="Art"/>
        <s v="Biology"/>
        <s v="Business Studies"/>
        <s v="Chemistry"/>
        <s v="Civics"/>
        <s v="Computer"/>
        <s v="Current affaris"/>
        <s v="Dance"/>
        <s v="Economics"/>
        <s v="English"/>
        <s v="Environmental Science"/>
        <s v="Geography"/>
        <s v="Hindi"/>
        <s v="History"/>
        <s v="Math"/>
        <s v="Music"/>
        <s v="Physical Education"/>
        <s v="Physics"/>
        <s v="Psychology"/>
        <s v="Sanskrit"/>
      </sharedItems>
    </cacheField>
    <cacheField name="[Measures].[Sum of Teacher Needed]" caption="Sum of Teacher Needed" numFmtId="0" hierarchy="25" level="32767"/>
  </cacheFields>
  <cacheHierarchies count="33">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0"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2" memberValueDatatype="130" unbalanced="0">
      <fieldsUsage count="2">
        <fieldUsage x="-1"/>
        <fieldUsage x="0"/>
      </fieldsUsage>
    </cacheHierarchy>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y uniqueName="[Measures].[Count of Teacher   shortage  status]" caption="Count of Teacher   shortage  status" measure="1" displayFolder="" measureGroup="Teachers_availability" count="0" hidden="1">
      <extLst>
        <ext xmlns:x15="http://schemas.microsoft.com/office/spreadsheetml/2010/11/main" uri="{B97F6D7D-B522-45F9-BDA1-12C45D357490}">
          <x15:cacheHierarchy aggregatedColumn="16"/>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 LAKSHMI YARRAMSETTI" refreshedDate="45869.483179282404" backgroundQuery="1" createdVersion="8" refreshedVersion="8" minRefreshableVersion="3" recordCount="0" supportSubquery="1" supportAdvancedDrill="1" xr:uid="{E7E2291F-F183-4E74-B418-80D7B5561699}">
  <cacheSource type="external" connectionId="4"/>
  <cacheFields count="3">
    <cacheField name="[Book_details].[Subject].[Subject]" caption="Subject" numFmtId="0" hierarchy="3" level="1">
      <sharedItems count="14">
        <s v="Biology"/>
        <s v="Chemistry"/>
        <s v="Civics"/>
        <s v="Commerce"/>
        <s v="Computer"/>
        <s v="Economics"/>
        <s v="English"/>
        <s v="Geography"/>
        <s v="Hindi"/>
        <s v="History"/>
        <s v="Math"/>
        <s v="Physics"/>
        <s v="Science"/>
        <s v="Sociology"/>
      </sharedItems>
    </cacheField>
    <cacheField name="[Measures].[Sum of Books Available]" caption="Sum of Books Available" numFmtId="0" hierarchy="27" level="32767"/>
    <cacheField name="[Measures].[Sum of Books Needed]" caption="Sum of Books Needed" numFmtId="0" hierarchy="28" level="32767"/>
  </cacheFields>
  <cacheHierarchies count="33">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2" memberValueDatatype="130" unbalanced="0">
      <fieldsUsage count="2">
        <fieldUsage x="-1"/>
        <fieldUsage x="0"/>
      </fieldsUsage>
    </cacheHierarchy>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0"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y uniqueName="[Measures].[Count of Teacher   shortage  status]" caption="Count of Teacher   shortage  status" measure="1" displayFolder="" measureGroup="Teachers_availability" count="0" hidden="1">
      <extLst>
        <ext xmlns:x15="http://schemas.microsoft.com/office/spreadsheetml/2010/11/main" uri="{B97F6D7D-B522-45F9-BDA1-12C45D357490}">
          <x15:cacheHierarchy aggregatedColumn="16"/>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 LAKSHMI YARRAMSETTI" refreshedDate="45871.593177546296" backgroundQuery="1" createdVersion="8" refreshedVersion="8" minRefreshableVersion="3" recordCount="0" supportSubquery="1" supportAdvancedDrill="1" xr:uid="{4D7273B6-87DD-45EF-B53D-A8CECD1C6E3B}">
  <cacheSource type="external" connectionId="4"/>
  <cacheFields count="2">
    <cacheField name="[Teachers_availability].[Teacher   shortage  status].[Teacher   shortage  status]" caption="Teacher   shortage  status" numFmtId="0" hierarchy="16" level="1">
      <sharedItems count="2">
        <s v="Shortage"/>
        <s v="Sufficient"/>
      </sharedItems>
    </cacheField>
    <cacheField name="[Measures].[Count of Teacher   shortage  status]" caption="Count of Teacher   shortage  status" numFmtId="0" hierarchy="32" level="32767"/>
  </cacheFields>
  <cacheHierarchies count="33">
    <cacheHierarchy uniqueName="[Book_details].[Books]" caption="Books" attribute="1" defaultMemberUniqueName="[Book_details].[Books].[All]" allUniqueName="[Book_details].[Books].[All]" dimensionUniqueName="[Book_details]" displayFolder="" count="2" memberValueDatatype="130" unbalanced="0"/>
    <cacheHierarchy uniqueName="[Book_details].[Book ID]" caption="Book ID" attribute="1" defaultMemberUniqueName="[Book_details].[Book ID].[All]" allUniqueName="[Book_details].[Book ID].[All]" dimensionUniqueName="[Book_details]" displayFolder="" count="2" memberValueDatatype="130" unbalanced="0"/>
    <cacheHierarchy uniqueName="[Book_details].[Author]" caption="Author" attribute="1" defaultMemberUniqueName="[Book_details].[Author].[All]" allUniqueName="[Book_details].[Author].[All]" dimensionUniqueName="[Book_details]" displayFolder="" count="2" memberValueDatatype="130" unbalanced="0"/>
    <cacheHierarchy uniqueName="[Book_details].[Subject]" caption="Subject" attribute="1" defaultMemberUniqueName="[Book_details].[Subject].[All]" allUniqueName="[Book_details].[Subject].[All]" dimensionUniqueName="[Book_details]" displayFolder="" count="2" memberValueDatatype="130" unbalanced="0"/>
    <cacheHierarchy uniqueName="[Book_details].[Status]" caption="Status" attribute="1" defaultMemberUniqueName="[Book_details].[Status].[All]" allUniqueName="[Book_details].[Status].[All]" dimensionUniqueName="[Book_details]" displayFolder="" count="2" memberValueDatatype="130" unbalanced="0"/>
    <cacheHierarchy uniqueName="[Book_details].[Books Available]" caption="Books Available" attribute="1" defaultMemberUniqueName="[Book_details].[Books Available].[All]" allUniqueName="[Book_details].[Books Available].[All]" dimensionUniqueName="[Book_details]" displayFolder="" count="2" memberValueDatatype="20" unbalanced="0"/>
    <cacheHierarchy uniqueName="[Book_details].[Books Needed]" caption="Books Needed" attribute="1" defaultMemberUniqueName="[Book_details].[Books Needed].[All]" allUniqueName="[Book_details].[Books Needed].[All]" dimensionUniqueName="[Book_details]" displayFolder="" count="2" memberValueDatatype="20" unbalanced="0"/>
    <cacheHierarchy uniqueName="[Food_items].[Food Items]" caption="Food Items" attribute="1" defaultMemberUniqueName="[Food_items].[Food Items].[All]" allUniqueName="[Food_items].[Food Items].[All]" dimensionUniqueName="[Food_items]" displayFolder="" count="2" memberValueDatatype="130" unbalanced="0"/>
    <cacheHierarchy uniqueName="[Food_items].[Total Quantity]" caption="Total Quantity" attribute="1" defaultMemberUniqueName="[Food_items].[Total Quantity].[All]" allUniqueName="[Food_items].[Total Quantity].[All]" dimensionUniqueName="[Food_items]" displayFolder="" count="2" memberValueDatatype="130" unbalanced="0"/>
    <cacheHierarchy uniqueName="[Food_items].[Available Quantity]" caption="Available Quantity" attribute="1" defaultMemberUniqueName="[Food_items].[Available Quantity].[All]" allUniqueName="[Food_items].[Available Quantity].[All]" dimensionUniqueName="[Food_items]" displayFolder="" count="2" memberValueDatatype="20" unbalanced="0"/>
    <cacheHierarchy uniqueName="[Food_items].[Minimum Threshold]" caption="Minimum Threshold" attribute="1" defaultMemberUniqueName="[Food_items].[Minimum Threshold].[All]" allUniqueName="[Food_items].[Minimum Threshold].[All]" dimensionUniqueName="[Food_items]" displayFolder="" count="2" memberValueDatatype="20" unbalanced="0"/>
    <cacheHierarchy uniqueName="[Food_items].[Last  Updated]" caption="Last  Updated" attribute="1" time="1" defaultMemberUniqueName="[Food_items].[Last  Updated].[All]" allUniqueName="[Food_items].[Last  Updated].[All]" dimensionUniqueName="[Food_items]" displayFolder="" count="2" memberValueDatatype="7" unbalanced="0"/>
    <cacheHierarchy uniqueName="[Teachers_availability].[Title]" caption="Title" attribute="1" defaultMemberUniqueName="[Teachers_availability].[Title].[All]" allUniqueName="[Teachers_availability].[Title].[All]" dimensionUniqueName="[Teachers_availability]" displayFolder="" count="2"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2"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2"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2"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2" memberValueDatatype="130" unbalanced="0">
      <fieldsUsage count="2">
        <fieldUsage x="-1"/>
        <fieldUsage x="0"/>
      </fieldsUsage>
    </cacheHierarchy>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y uniqueName="[Measures].[Count of Teacher   shortage  status]" caption="Count of Teacher   shortage  status" measure="1" displayFolder="" measureGroup="Teachers_availability"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 LAKSHMI YARRAMSETTI" refreshedDate="45873.438499305557" backgroundQuery="1" createdVersion="8" refreshedVersion="8" minRefreshableVersion="3" recordCount="0" supportSubquery="1" supportAdvancedDrill="1" xr:uid="{2D5197F4-87A9-4788-AC9F-EC8BE357F86C}">
  <cacheSource type="external" connectionId="4"/>
  <cacheFields count="4">
    <cacheField name="[Measures].[Count of Books]" caption="Count of Books" numFmtId="0" hierarchy="21" level="32767"/>
    <cacheField name="[Measures].[Sum of Books Available]" caption="Sum of Books Available" numFmtId="0" hierarchy="27" level="32767"/>
    <cacheField name="[Book_details].[Subject].[Subject]" caption="Subject" numFmtId="0" hierarchy="3" level="1">
      <sharedItems count="14">
        <s v="Biology"/>
        <s v="Chemistry"/>
        <s v="Civics"/>
        <s v="Commerce"/>
        <s v="Computer"/>
        <s v="Economics"/>
        <s v="English"/>
        <s v="Geography"/>
        <s v="Hindi"/>
        <s v="History"/>
        <s v="Math"/>
        <s v="Physics"/>
        <s v="Science"/>
        <s v="Sociology"/>
      </sharedItems>
    </cacheField>
    <cacheField name="[Book_details].[Books].[Books]" caption="Books" numFmtId="0" level="1">
      <sharedItems containsSemiMixedTypes="0" containsNonDate="0" containsString="0"/>
    </cacheField>
  </cacheFields>
  <cacheHierarchies count="32">
    <cacheHierarchy uniqueName="[Book_details].[Books]" caption="Books" attribute="1" defaultMemberUniqueName="[Book_details].[Books].[All]" allUniqueName="[Book_details].[Books].[All]" dimensionUniqueName="[Book_details]" displayFolder="" count="2" memberValueDatatype="130" unbalanced="0">
      <fieldsUsage count="2">
        <fieldUsage x="-1"/>
        <fieldUsage x="3"/>
      </fieldsUsage>
    </cacheHierarchy>
    <cacheHierarchy uniqueName="[Book_details].[Book ID]" caption="Book ID" attribute="1" defaultMemberUniqueName="[Book_details].[Book ID].[All]" allUniqueName="[Book_details].[Book ID].[All]" dimensionUniqueName="[Book_details]" displayFolder="" count="2" memberValueDatatype="130" unbalanced="0"/>
    <cacheHierarchy uniqueName="[Book_details].[Author]" caption="Author" attribute="1" defaultMemberUniqueName="[Book_details].[Author].[All]" allUniqueName="[Book_details].[Author].[All]" dimensionUniqueName="[Book_details]" displayFolder="" count="2" memberValueDatatype="130" unbalanced="0"/>
    <cacheHierarchy uniqueName="[Book_details].[Subject]" caption="Subject" attribute="1" defaultMemberUniqueName="[Book_details].[Subject].[All]" allUniqueName="[Book_details].[Subject].[All]" dimensionUniqueName="[Book_details]" displayFolder="" count="2" memberValueDatatype="130" unbalanced="0">
      <fieldsUsage count="2">
        <fieldUsage x="-1"/>
        <fieldUsage x="2"/>
      </fieldsUsage>
    </cacheHierarchy>
    <cacheHierarchy uniqueName="[Book_details].[Status]" caption="Status" attribute="1" defaultMemberUniqueName="[Book_details].[Status].[All]" allUniqueName="[Book_details].[Status].[All]" dimensionUniqueName="[Book_details]" displayFolder="" count="2" memberValueDatatype="130" unbalanced="0"/>
    <cacheHierarchy uniqueName="[Book_details].[Books Available]" caption="Books Available" attribute="1" defaultMemberUniqueName="[Book_details].[Books Available].[All]" allUniqueName="[Book_details].[Books Available].[All]" dimensionUniqueName="[Book_details]" displayFolder="" count="2" memberValueDatatype="20" unbalanced="0"/>
    <cacheHierarchy uniqueName="[Book_details].[Books Needed]" caption="Books Needed" attribute="1" defaultMemberUniqueName="[Book_details].[Books Needed].[All]" allUniqueName="[Book_details].[Books Needed].[All]" dimensionUniqueName="[Book_details]" displayFolder="" count="2" memberValueDatatype="20" unbalanced="0"/>
    <cacheHierarchy uniqueName="[Food_items].[Food Items]" caption="Food Items" attribute="1" defaultMemberUniqueName="[Food_items].[Food Items].[All]" allUniqueName="[Food_items].[Food Items].[All]" dimensionUniqueName="[Food_items]" displayFolder="" count="2" memberValueDatatype="130" unbalanced="0"/>
    <cacheHierarchy uniqueName="[Food_items].[Total Quantity]" caption="Total Quantity" attribute="1" defaultMemberUniqueName="[Food_items].[Total Quantity].[All]" allUniqueName="[Food_items].[Total Quantity].[All]" dimensionUniqueName="[Food_items]" displayFolder="" count="2" memberValueDatatype="130" unbalanced="0"/>
    <cacheHierarchy uniqueName="[Food_items].[Available Quantity]" caption="Available Quantity" attribute="1" defaultMemberUniqueName="[Food_items].[Available Quantity].[All]" allUniqueName="[Food_items].[Available Quantity].[All]" dimensionUniqueName="[Food_items]" displayFolder="" count="2" memberValueDatatype="20" unbalanced="0"/>
    <cacheHierarchy uniqueName="[Food_items].[Minimum Threshold]" caption="Minimum Threshold" attribute="1" defaultMemberUniqueName="[Food_items].[Minimum Threshold].[All]" allUniqueName="[Food_items].[Minimum Threshold].[All]" dimensionUniqueName="[Food_items]" displayFolder="" count="2" memberValueDatatype="20" unbalanced="0"/>
    <cacheHierarchy uniqueName="[Food_items].[Last  Updated]" caption="Last  Updated" attribute="1" time="1" defaultMemberUniqueName="[Food_items].[Last  Updated].[All]" allUniqueName="[Food_items].[Last  Updated].[All]" dimensionUniqueName="[Food_items]" displayFolder="" count="2" memberValueDatatype="7" unbalanced="0"/>
    <cacheHierarchy uniqueName="[Teachers_availability].[Title]" caption="Title" attribute="1" defaultMemberUniqueName="[Teachers_availability].[Title].[All]" allUniqueName="[Teachers_availability].[Title].[All]" dimensionUniqueName="[Teachers_availability]" displayFolder="" count="2"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2"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2"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2"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2"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ies>
  <kpis count="0"/>
  <dimensions count="4">
    <dimension name="Book_details" uniqueName="[Book_details]" caption="Book_details"/>
    <dimension name="Food_items" uniqueName="[Food_items]" caption="Food_items"/>
    <dimension measure="1" name="Measures" uniqueName="[Measures]" caption="Measures"/>
    <dimension name="Teachers_availability" uniqueName="[Teachers_availability]" caption="Teachers_availability"/>
  </dimensions>
  <measureGroups count="3">
    <measureGroup name="Book_details" caption="Book_details"/>
    <measureGroup name="Food_items" caption="Food_items"/>
    <measureGroup name="Teachers_availability" caption="Teachers_availability"/>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JAYA LAKSHMI YARRAMSETTI" refreshedDate="45869.914781712963" backgroundQuery="1" createdVersion="3" refreshedVersion="8" minRefreshableVersion="3" recordCount="0" supportSubquery="1" supportAdvancedDrill="1" xr:uid="{89535F55-A71F-455C-A5D4-AF1C7C0B670B}">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Book_details].[Books]" caption="Books" attribute="1" defaultMemberUniqueName="[Book_details].[Books].[All]" allUniqueName="[Book_details].[Books].[All]" dimensionUniqueName="[Book_details]" displayFolder="" count="0" memberValueDatatype="130" unbalanced="0"/>
    <cacheHierarchy uniqueName="[Book_details].[Book ID]" caption="Book ID" attribute="1" defaultMemberUniqueName="[Book_details].[Book ID].[All]" allUniqueName="[Book_details].[Book ID].[All]" dimensionUniqueName="[Book_details]" displayFolder="" count="0" memberValueDatatype="130" unbalanced="0"/>
    <cacheHierarchy uniqueName="[Book_details].[Author]" caption="Author" attribute="1" defaultMemberUniqueName="[Book_details].[Author].[All]" allUniqueName="[Book_details].[Author].[All]" dimensionUniqueName="[Book_details]" displayFolder="" count="0" memberValueDatatype="130" unbalanced="0"/>
    <cacheHierarchy uniqueName="[Book_details].[Subject]" caption="Subject" attribute="1" defaultMemberUniqueName="[Book_details].[Subject].[All]" allUniqueName="[Book_details].[Subject].[All]" dimensionUniqueName="[Book_details]" displayFolder="" count="2" memberValueDatatype="130" unbalanced="0"/>
    <cacheHierarchy uniqueName="[Book_details].[Status]" caption="Status" attribute="1" defaultMemberUniqueName="[Book_details].[Status].[All]" allUniqueName="[Book_details].[Status].[All]" dimensionUniqueName="[Book_details]" displayFolder="" count="0" memberValueDatatype="130" unbalanced="0"/>
    <cacheHierarchy uniqueName="[Book_details].[Books Available]" caption="Books Available" attribute="1" defaultMemberUniqueName="[Book_details].[Books Available].[All]" allUniqueName="[Book_details].[Books Available].[All]" dimensionUniqueName="[Book_details]" displayFolder="" count="0" memberValueDatatype="20" unbalanced="0"/>
    <cacheHierarchy uniqueName="[Book_details].[Books Needed]" caption="Books Needed" attribute="1" defaultMemberUniqueName="[Book_details].[Books Needed].[All]" allUniqueName="[Book_details].[Books Needed].[All]" dimensionUniqueName="[Book_details]" displayFolder="" count="0" memberValueDatatype="20" unbalanced="0"/>
    <cacheHierarchy uniqueName="[Food_items].[Food Items]" caption="Food Items" attribute="1" defaultMemberUniqueName="[Food_items].[Food Items].[All]" allUniqueName="[Food_items].[Food Items].[All]" dimensionUniqueName="[Food_items]" displayFolder="" count="0" memberValueDatatype="130" unbalanced="0"/>
    <cacheHierarchy uniqueName="[Food_items].[Total Quantity]" caption="Total Quantity" attribute="1" defaultMemberUniqueName="[Food_items].[Total Quantity].[All]" allUniqueName="[Food_items].[Total Quantity].[All]" dimensionUniqueName="[Food_items]" displayFolder="" count="0" memberValueDatatype="130" unbalanced="0"/>
    <cacheHierarchy uniqueName="[Food_items].[Available Quantity]" caption="Available Quantity" attribute="1" defaultMemberUniqueName="[Food_items].[Available Quantity].[All]" allUniqueName="[Food_items].[Available Quantity].[All]" dimensionUniqueName="[Food_items]" displayFolder="" count="0" memberValueDatatype="20" unbalanced="0"/>
    <cacheHierarchy uniqueName="[Food_items].[Minimum Threshold]" caption="Minimum Threshold" attribute="1" defaultMemberUniqueName="[Food_items].[Minimum Threshold].[All]" allUniqueName="[Food_items].[Minimum Threshold].[All]" dimensionUniqueName="[Food_items]" displayFolder="" count="0" memberValueDatatype="20" unbalanced="0"/>
    <cacheHierarchy uniqueName="[Food_items].[Last  Updated]" caption="Last  Updated" attribute="1" time="1" defaultMemberUniqueName="[Food_items].[Last  Updated].[All]" allUniqueName="[Food_items].[Last  Updated].[All]" dimensionUniqueName="[Food_items]" displayFolder="" count="0" memberValueDatatype="7" unbalanced="0"/>
    <cacheHierarchy uniqueName="[Teachers_availability].[Title]" caption="Title" attribute="1" defaultMemberUniqueName="[Teachers_availability].[Title].[All]" allUniqueName="[Teachers_availability].[Title].[All]" dimensionUniqueName="[Teachers_availability]" displayFolder="" count="0" memberValueDatatype="130" unbalanced="0"/>
    <cacheHierarchy uniqueName="[Teachers_availability].[Teachers Required]" caption="Teachers Required" attribute="1" defaultMemberUniqueName="[Teachers_availability].[Teachers Required].[All]" allUniqueName="[Teachers_availability].[Teachers Required].[All]" dimensionUniqueName="[Teachers_availability]" displayFolder="" count="0" memberValueDatatype="20" unbalanced="0"/>
    <cacheHierarchy uniqueName="[Teachers_availability].[Teachers Assigned]" caption="Teachers Assigned" attribute="1" defaultMemberUniqueName="[Teachers_availability].[Teachers Assigned].[All]" allUniqueName="[Teachers_availability].[Teachers Assigned].[All]" dimensionUniqueName="[Teachers_availability]" displayFolder="" count="0" memberValueDatatype="20" unbalanced="0"/>
    <cacheHierarchy uniqueName="[Teachers_availability].[Teacher Needed]" caption="Teacher Needed" attribute="1" defaultMemberUniqueName="[Teachers_availability].[Teacher Needed].[All]" allUniqueName="[Teachers_availability].[Teacher Needed].[All]" dimensionUniqueName="[Teachers_availability]" displayFolder="" count="0" memberValueDatatype="20" unbalanced="0"/>
    <cacheHierarchy uniqueName="[Teachers_availability].[Teacher   shortage  status]" caption="Teacher   shortage  status" attribute="1" defaultMemberUniqueName="[Teachers_availability].[Teacher   shortage  status].[All]" allUniqueName="[Teachers_availability].[Teacher   shortage  status].[All]" dimensionUniqueName="[Teachers_availability]" displayFolder="" count="2" memberValueDatatype="130" unbalanced="0"/>
    <cacheHierarchy uniqueName="[Measures].[__XL_Count Book_details]" caption="__XL_Count Book_details" measure="1" displayFolder="" measureGroup="Book_details" count="0" hidden="1"/>
    <cacheHierarchy uniqueName="[Measures].[__XL_Count Teachers_availability]" caption="__XL_Count Teachers_availability" measure="1" displayFolder="" measureGroup="Teachers_availability" count="0" hidden="1"/>
    <cacheHierarchy uniqueName="[Measures].[__XL_Count Food_items]" caption="__XL_Count Food_items" measure="1" displayFolder="" measureGroup="Food_items" count="0" hidden="1"/>
    <cacheHierarchy uniqueName="[Measures].[__No measures defined]" caption="__No measures defined" measure="1" displayFolder="" count="0" hidden="1"/>
    <cacheHierarchy uniqueName="[Measures].[Count of Books]" caption="Count of Books" measure="1" displayFolder="" measureGroup="Book_details"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Book_details" count="0" hidden="1">
      <extLst>
        <ext xmlns:x15="http://schemas.microsoft.com/office/spreadsheetml/2010/11/main" uri="{B97F6D7D-B522-45F9-BDA1-12C45D357490}">
          <x15:cacheHierarchy aggregatedColumn="4"/>
        </ext>
      </extLst>
    </cacheHierarchy>
    <cacheHierarchy uniqueName="[Measures].[Sum of Teachers Required]" caption="Sum of Teachers Required" measure="1" displayFolder="" measureGroup="Teachers_availability" count="0" hidden="1">
      <extLst>
        <ext xmlns:x15="http://schemas.microsoft.com/office/spreadsheetml/2010/11/main" uri="{B97F6D7D-B522-45F9-BDA1-12C45D357490}">
          <x15:cacheHierarchy aggregatedColumn="13"/>
        </ext>
      </extLst>
    </cacheHierarchy>
    <cacheHierarchy uniqueName="[Measures].[Sum of Teachers Assigned]" caption="Sum of Teachers Assigned" measure="1" displayFolder="" measureGroup="Teachers_availability" count="0" hidden="1">
      <extLst>
        <ext xmlns:x15="http://schemas.microsoft.com/office/spreadsheetml/2010/11/main" uri="{B97F6D7D-B522-45F9-BDA1-12C45D357490}">
          <x15:cacheHierarchy aggregatedColumn="14"/>
        </ext>
      </extLst>
    </cacheHierarchy>
    <cacheHierarchy uniqueName="[Measures].[Sum of Teacher Needed]" caption="Sum of Teacher Needed" measure="1" displayFolder="" measureGroup="Teachers_availability" count="0" hidden="1">
      <extLst>
        <ext xmlns:x15="http://schemas.microsoft.com/office/spreadsheetml/2010/11/main" uri="{B97F6D7D-B522-45F9-BDA1-12C45D357490}">
          <x15:cacheHierarchy aggregatedColumn="15"/>
        </ext>
      </extLst>
    </cacheHierarchy>
    <cacheHierarchy uniqueName="[Measures].[Count of Title]" caption="Count of Title" measure="1" displayFolder="" measureGroup="Teachers_availability" count="0" hidden="1">
      <extLst>
        <ext xmlns:x15="http://schemas.microsoft.com/office/spreadsheetml/2010/11/main" uri="{B97F6D7D-B522-45F9-BDA1-12C45D357490}">
          <x15:cacheHierarchy aggregatedColumn="12"/>
        </ext>
      </extLst>
    </cacheHierarchy>
    <cacheHierarchy uniqueName="[Measures].[Sum of Books Available]" caption="Sum of Books Available" measure="1" displayFolder="" measureGroup="Book_details" count="0" hidden="1">
      <extLst>
        <ext xmlns:x15="http://schemas.microsoft.com/office/spreadsheetml/2010/11/main" uri="{B97F6D7D-B522-45F9-BDA1-12C45D357490}">
          <x15:cacheHierarchy aggregatedColumn="5"/>
        </ext>
      </extLst>
    </cacheHierarchy>
    <cacheHierarchy uniqueName="[Measures].[Sum of Books Needed]" caption="Sum of Books Needed" measure="1" displayFolder="" measureGroup="Book_details" count="0" hidden="1">
      <extLst>
        <ext xmlns:x15="http://schemas.microsoft.com/office/spreadsheetml/2010/11/main" uri="{B97F6D7D-B522-45F9-BDA1-12C45D357490}">
          <x15:cacheHierarchy aggregatedColumn="6"/>
        </ext>
      </extLst>
    </cacheHierarchy>
    <cacheHierarchy uniqueName="[Measures].[Sum of Available Quantity]" caption="Sum of Available Quantity" measure="1" displayFolder="" measureGroup="Food_items" count="0" hidden="1">
      <extLst>
        <ext xmlns:x15="http://schemas.microsoft.com/office/spreadsheetml/2010/11/main" uri="{B97F6D7D-B522-45F9-BDA1-12C45D357490}">
          <x15:cacheHierarchy aggregatedColumn="9"/>
        </ext>
      </extLst>
    </cacheHierarchy>
    <cacheHierarchy uniqueName="[Measures].[Sum of Minimum Threshold]" caption="Sum of Minimum Threshold" measure="1" displayFolder="" measureGroup="Food_items" count="0" hidden="1">
      <extLst>
        <ext xmlns:x15="http://schemas.microsoft.com/office/spreadsheetml/2010/11/main" uri="{B97F6D7D-B522-45F9-BDA1-12C45D357490}">
          <x15:cacheHierarchy aggregatedColumn="10"/>
        </ext>
      </extLst>
    </cacheHierarchy>
    <cacheHierarchy uniqueName="[Measures].[Count of Food Items]" caption="Count of Food Items" measure="1" displayFolder="" measureGroup="Food_items" count="0" hidden="1">
      <extLst>
        <ext xmlns:x15="http://schemas.microsoft.com/office/spreadsheetml/2010/11/main" uri="{B97F6D7D-B522-45F9-BDA1-12C45D357490}">
          <x15:cacheHierarchy aggregatedColumn="7"/>
        </ext>
      </extLst>
    </cacheHierarchy>
    <cacheHierarchy uniqueName="[Measures].[Count of Teacher   shortage  status]" caption="Count of Teacher   shortage  status" measure="1" displayFolder="" measureGroup="Teachers_availability"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3667226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20"/>
    <x v="0"/>
    <x v="0"/>
    <x v="0"/>
    <n v="5"/>
  </r>
  <r>
    <x v="1"/>
    <x v="1"/>
    <x v="1"/>
    <n v="15"/>
    <x v="0"/>
    <x v="1"/>
    <x v="1"/>
    <n v="0"/>
  </r>
  <r>
    <x v="2"/>
    <x v="2"/>
    <x v="2"/>
    <n v="10"/>
    <x v="0"/>
    <x v="0"/>
    <x v="0"/>
    <n v="5"/>
  </r>
  <r>
    <x v="3"/>
    <x v="3"/>
    <x v="3"/>
    <n v="5"/>
    <x v="0"/>
    <x v="1"/>
    <x v="1"/>
    <n v="0"/>
  </r>
  <r>
    <x v="4"/>
    <x v="4"/>
    <x v="4"/>
    <n v="10"/>
    <x v="0"/>
    <x v="1"/>
    <x v="1"/>
    <n v="0"/>
  </r>
  <r>
    <x v="5"/>
    <x v="5"/>
    <x v="5"/>
    <n v="30"/>
    <x v="0"/>
    <x v="0"/>
    <x v="0"/>
    <n v="8"/>
  </r>
  <r>
    <x v="6"/>
    <x v="6"/>
    <x v="6"/>
    <n v="10"/>
    <x v="0"/>
    <x v="1"/>
    <x v="1"/>
    <n v="0"/>
  </r>
  <r>
    <x v="7"/>
    <x v="7"/>
    <x v="7"/>
    <n v="30"/>
    <x v="0"/>
    <x v="1"/>
    <x v="1"/>
    <n v="0"/>
  </r>
  <r>
    <x v="8"/>
    <x v="3"/>
    <x v="8"/>
    <n v="5"/>
    <x v="0"/>
    <x v="0"/>
    <x v="0"/>
    <n v="2"/>
  </r>
  <r>
    <x v="9"/>
    <x v="8"/>
    <x v="9"/>
    <n v="3"/>
    <x v="0"/>
    <x v="0"/>
    <x v="0"/>
    <n v="1"/>
  </r>
  <r>
    <x v="10"/>
    <x v="9"/>
    <x v="10"/>
    <n v="5"/>
    <x v="0"/>
    <x v="0"/>
    <x v="0"/>
    <n v="1"/>
  </r>
  <r>
    <x v="11"/>
    <x v="10"/>
    <x v="11"/>
    <n v="15"/>
    <x v="0"/>
    <x v="1"/>
    <x v="1"/>
    <n v="0"/>
  </r>
  <r>
    <x v="12"/>
    <x v="11"/>
    <x v="12"/>
    <n v="20"/>
    <x v="0"/>
    <x v="0"/>
    <x v="0"/>
    <n v="10"/>
  </r>
  <r>
    <x v="13"/>
    <x v="12"/>
    <x v="6"/>
    <n v="15"/>
    <x v="0"/>
    <x v="0"/>
    <x v="0"/>
    <n v="3"/>
  </r>
  <r>
    <x v="14"/>
    <x v="13"/>
    <x v="13"/>
    <n v="10"/>
    <x v="0"/>
    <x v="0"/>
    <x v="0"/>
    <n v="2"/>
  </r>
  <r>
    <x v="15"/>
    <x v="14"/>
    <x v="14"/>
    <n v="10"/>
    <x v="0"/>
    <x v="0"/>
    <x v="0"/>
    <n v="4"/>
  </r>
  <r>
    <x v="16"/>
    <x v="6"/>
    <x v="15"/>
    <n v="10"/>
    <x v="0"/>
    <x v="1"/>
    <x v="1"/>
    <n v="0"/>
  </r>
  <r>
    <x v="17"/>
    <x v="8"/>
    <x v="8"/>
    <n v="2"/>
    <x v="0"/>
    <x v="1"/>
    <x v="1"/>
    <n v="0"/>
  </r>
  <r>
    <x v="18"/>
    <x v="15"/>
    <x v="16"/>
    <n v="2"/>
    <x v="0"/>
    <x v="0"/>
    <x v="0"/>
    <n v="1"/>
  </r>
  <r>
    <x v="19"/>
    <x v="16"/>
    <x v="10"/>
    <n v="3"/>
    <x v="0"/>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4A6E7-01E5-4AED-AADE-C1053739F1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3" firstHeaderRow="1" firstDataRow="1" firstDataCol="1"/>
  <pivotFields count="8">
    <pivotField dataField="1" showAll="0">
      <items count="21">
        <item x="11"/>
        <item x="8"/>
        <item x="19"/>
        <item x="1"/>
        <item x="12"/>
        <item x="17"/>
        <item x="18"/>
        <item x="16"/>
        <item x="7"/>
        <item x="2"/>
        <item x="13"/>
        <item x="14"/>
        <item x="0"/>
        <item x="3"/>
        <item x="10"/>
        <item x="6"/>
        <item x="9"/>
        <item x="15"/>
        <item x="4"/>
        <item x="5"/>
        <item t="default"/>
      </items>
    </pivotField>
    <pivotField showAll="0"/>
    <pivotField showAll="0"/>
    <pivotField showAll="0"/>
    <pivotField axis="axisRow" numFmtId="14" showAll="0">
      <items count="2">
        <item x="0"/>
        <item t="default"/>
      </items>
    </pivotField>
    <pivotField showAll="0">
      <items count="4">
        <item x="0"/>
        <item x="1"/>
        <item f="1" x="2"/>
        <item t="default"/>
      </items>
    </pivotField>
    <pivotField showAll="0"/>
    <pivotField showAll="0"/>
  </pivotFields>
  <rowFields count="1">
    <field x="4"/>
  </rowFields>
  <rowItems count="2">
    <i>
      <x/>
    </i>
    <i t="grand">
      <x/>
    </i>
  </rowItems>
  <colItems count="1">
    <i/>
  </colItems>
  <dataFields count="1">
    <dataField name="Count of Food Item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48F8B0-CCE5-42F2-8129-AEC55D8C56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P22:Q43" firstHeaderRow="1" firstDataRow="1" firstDataCol="1"/>
  <pivotFields count="8">
    <pivotField axis="axisRow" showAll="0">
      <items count="21">
        <item x="11"/>
        <item x="8"/>
        <item x="19"/>
        <item x="1"/>
        <item x="12"/>
        <item x="17"/>
        <item x="18"/>
        <item x="16"/>
        <item x="7"/>
        <item x="2"/>
        <item x="13"/>
        <item x="14"/>
        <item x="0"/>
        <item x="3"/>
        <item x="10"/>
        <item x="6"/>
        <item x="9"/>
        <item x="15"/>
        <item x="4"/>
        <item x="5"/>
        <item t="default"/>
      </items>
    </pivotField>
    <pivotField showAll="0"/>
    <pivotField dataField="1" showAll="0"/>
    <pivotField showAll="0"/>
    <pivotField numFmtId="14" showAll="0"/>
    <pivotField showAll="0">
      <items count="4">
        <item x="0"/>
        <item x="1"/>
        <item f="1" x="2"/>
        <item t="default"/>
      </items>
    </pivotField>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ailable Quantity" fld="2"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4BEA2-EDC1-442B-9FF9-FBA651FCC7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T26:U43" firstHeaderRow="1" firstDataRow="1" firstDataCol="1"/>
  <pivotFields count="8">
    <pivotField showAll="0"/>
    <pivotField axis="axisRow" showAll="0">
      <items count="18">
        <item h="1" x="3"/>
        <item x="0"/>
        <item x="6"/>
        <item x="14"/>
        <item x="2"/>
        <item x="11"/>
        <item x="15"/>
        <item x="4"/>
        <item x="12"/>
        <item x="8"/>
        <item x="1"/>
        <item x="10"/>
        <item x="16"/>
        <item x="13"/>
        <item x="7"/>
        <item x="9"/>
        <item x="5"/>
        <item t="default"/>
      </items>
    </pivotField>
    <pivotField dataField="1" showAll="0">
      <items count="18">
        <item x="16"/>
        <item x="9"/>
        <item x="8"/>
        <item x="10"/>
        <item x="2"/>
        <item x="14"/>
        <item x="3"/>
        <item x="13"/>
        <item x="12"/>
        <item x="6"/>
        <item x="15"/>
        <item x="0"/>
        <item x="4"/>
        <item x="11"/>
        <item x="5"/>
        <item x="1"/>
        <item x="7"/>
        <item t="default"/>
      </items>
    </pivotField>
    <pivotField showAll="0"/>
    <pivotField numFmtId="14" showAll="0"/>
    <pivotField showAll="0">
      <items count="4">
        <item x="0"/>
        <item x="1"/>
        <item f="1" x="2"/>
        <item t="default"/>
      </items>
    </pivotField>
    <pivotField showAll="0"/>
    <pivotField showAll="0"/>
  </pivotFields>
  <rowFields count="1">
    <field x="1"/>
  </rowFields>
  <rowItems count="17">
    <i>
      <x v="1"/>
    </i>
    <i>
      <x v="2"/>
    </i>
    <i>
      <x v="3"/>
    </i>
    <i>
      <x v="4"/>
    </i>
    <i>
      <x v="5"/>
    </i>
    <i>
      <x v="6"/>
    </i>
    <i>
      <x v="7"/>
    </i>
    <i>
      <x v="8"/>
    </i>
    <i>
      <x v="9"/>
    </i>
    <i>
      <x v="10"/>
    </i>
    <i>
      <x v="11"/>
    </i>
    <i>
      <x v="12"/>
    </i>
    <i>
      <x v="13"/>
    </i>
    <i>
      <x v="14"/>
    </i>
    <i>
      <x v="15"/>
    </i>
    <i>
      <x v="16"/>
    </i>
    <i t="grand">
      <x/>
    </i>
  </rowItems>
  <colItems count="1">
    <i/>
  </colItems>
  <dataFields count="1">
    <dataField name="Sum of Available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ACA47D-71DD-430F-9CCF-2B08DFEFB4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4:J28" firstHeaderRow="1" firstDataRow="1" firstDataCol="1"/>
  <pivotFields count="8">
    <pivotField dataField="1" showAll="0">
      <items count="21">
        <item x="11"/>
        <item x="8"/>
        <item x="19"/>
        <item x="1"/>
        <item x="12"/>
        <item x="17"/>
        <item x="18"/>
        <item x="16"/>
        <item x="7"/>
        <item x="2"/>
        <item x="13"/>
        <item x="14"/>
        <item x="0"/>
        <item x="3"/>
        <item x="10"/>
        <item x="6"/>
        <item x="9"/>
        <item x="15"/>
        <item x="4"/>
        <item x="5"/>
        <item t="default"/>
      </items>
    </pivotField>
    <pivotField showAll="0"/>
    <pivotField showAll="0">
      <items count="18">
        <item x="16"/>
        <item x="9"/>
        <item x="8"/>
        <item x="10"/>
        <item x="2"/>
        <item x="14"/>
        <item x="3"/>
        <item x="13"/>
        <item x="12"/>
        <item x="6"/>
        <item x="15"/>
        <item x="0"/>
        <item x="4"/>
        <item x="11"/>
        <item x="5"/>
        <item x="1"/>
        <item x="7"/>
        <item t="default"/>
      </items>
    </pivotField>
    <pivotField showAll="0"/>
    <pivotField numFmtId="14" showAll="0"/>
    <pivotField axis="axisRow" showAll="0">
      <items count="4">
        <item x="0"/>
        <item x="1"/>
        <item f="1" x="2"/>
        <item t="default"/>
      </items>
    </pivotField>
    <pivotField showAll="0"/>
    <pivotField showAll="0"/>
  </pivotFields>
  <rowFields count="1">
    <field x="5"/>
  </rowFields>
  <rowItems count="4">
    <i>
      <x/>
    </i>
    <i>
      <x v="1"/>
    </i>
    <i>
      <x v="2"/>
    </i>
    <i t="grand">
      <x/>
    </i>
  </rowItems>
  <colItems count="1">
    <i/>
  </colItems>
  <dataFields count="1">
    <dataField name="Count of Food Items" fld="0" subtotal="count" baseField="0" baseItem="0"/>
  </dataField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16EAC-43ED-49A2-B432-315C126B6C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L24:M36" firstHeaderRow="1" firstDataRow="1" firstDataCol="1" rowPageCount="1" colPageCount="1"/>
  <pivotFields count="8">
    <pivotField axis="axisRow" showAll="0">
      <items count="21">
        <item x="11"/>
        <item x="8"/>
        <item x="19"/>
        <item x="1"/>
        <item x="12"/>
        <item x="17"/>
        <item x="18"/>
        <item x="16"/>
        <item x="7"/>
        <item x="2"/>
        <item x="13"/>
        <item x="14"/>
        <item x="0"/>
        <item x="3"/>
        <item x="10"/>
        <item x="6"/>
        <item x="9"/>
        <item x="15"/>
        <item x="4"/>
        <item x="5"/>
        <item t="default"/>
      </items>
    </pivotField>
    <pivotField showAll="0"/>
    <pivotField showAll="0"/>
    <pivotField showAll="0"/>
    <pivotField numFmtId="14" showAll="0"/>
    <pivotField showAll="0">
      <items count="4">
        <item x="0"/>
        <item x="1"/>
        <item f="1" x="2"/>
        <item t="default"/>
      </items>
    </pivotField>
    <pivotField axis="axisPage" multipleItemSelectionAllowed="1" showAll="0">
      <items count="3">
        <item h="1" x="1"/>
        <item x="0"/>
        <item t="default"/>
      </items>
    </pivotField>
    <pivotField dataField="1" showAll="0"/>
  </pivotFields>
  <rowFields count="1">
    <field x="0"/>
  </rowFields>
  <rowItems count="12">
    <i>
      <x v="1"/>
    </i>
    <i>
      <x v="4"/>
    </i>
    <i>
      <x v="6"/>
    </i>
    <i>
      <x v="9"/>
    </i>
    <i>
      <x v="10"/>
    </i>
    <i>
      <x v="11"/>
    </i>
    <i>
      <x v="12"/>
    </i>
    <i>
      <x v="14"/>
    </i>
    <i>
      <x v="16"/>
    </i>
    <i>
      <x v="17"/>
    </i>
    <i>
      <x v="19"/>
    </i>
    <i t="grand">
      <x/>
    </i>
  </rowItems>
  <colItems count="1">
    <i/>
  </colItems>
  <pageFields count="1">
    <pageField fld="6" hier="-1"/>
  </pageFields>
  <dataFields count="1">
    <dataField name="Sum of Reoder Quantity" fld="7" baseField="0" baseItem="0"/>
  </dataFields>
  <chartFormats count="2">
    <chartFormat chart="37" format="1" series="1">
      <pivotArea type="data" outline="0" fieldPosition="0">
        <references count="1">
          <reference field="4294967294" count="1" selected="0">
            <x v="0"/>
          </reference>
        </references>
      </pivotArea>
    </chartFormat>
    <chartFormat chart="6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F57620-A8F8-41DE-B345-BA2A42E1808B}"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K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Books"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FA3BD5-205A-4F92-83D9-1FE20110A60F}" name="PivotTable2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5:V26"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Minimum Threshold"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Food_items">
        <x15:activeTabTopLevelEntity name="[Food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75099F-D109-4116-BEFD-85B4E66B2495}" name="PivotTable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F3:H1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Count of Books" fld="0" subtotal="count" baseField="0" baseItem="0"/>
    <dataField name="Sum of Books Available" fld="1" baseField="0" baseItem="0"/>
  </dataFields>
  <chartFormats count="5">
    <chartFormat chart="1" format="0"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10" format="31" series="1">
      <pivotArea type="data" outline="0" fieldPosition="0">
        <references count="1">
          <reference field="4294967294" count="1" selected="0">
            <x v="0"/>
          </reference>
        </references>
      </pivotArea>
    </chartFormat>
  </chartFormats>
  <pivotHierarchies count="32">
    <pivotHierarchy multipleItemSelectionAllowed="1" dragToData="1">
      <members count="1" level="1">
        <member name="[Book_details].[Books].&amp;[English Grammar and Composition]"/>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3F76EF-63AD-4F03-BA91-26C4876F0DC9}" name="PivotTable1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R18:S39"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ailable Quantity"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Food_items">
        <x15:activeTabTopLevelEntity name="[Food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AAFC91-44EF-4EC2-9F0B-BC26849F645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1:Z26" firstHeaderRow="0"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Books Available" fld="1" baseField="0" baseItem="0"/>
    <dataField name="Sum of Books Needed" fld="2"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5A141B-D439-4748-B570-46A3A22DB54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8:C4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Teacher   shortage  status" fld="1" subtotal="count" baseField="0" baseItem="0"/>
  </dataFields>
  <chartFormats count="6">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1"/>
          </reference>
        </references>
      </pivotArea>
    </chartFormat>
    <chartFormat chart="22"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Teachers_availability">
        <x15:activeTabTopLevelEntity name="[Teachers_availab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9EB669-004C-4F51-A04D-79BED87945BA}" name="PivotTable2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9:V31"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Food Items"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Food_items">
        <x15:activeTabTopLevelEntity name="[Food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148560-068F-4567-9706-BB0A3CCC93D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6:C68"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eacher Needed" fld="1"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Teachers_availability">
        <x15:activeTabTopLevelEntity name="[Teachers_availab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1CA762-CF39-49FB-BFFA-CBCC680A5190}" name="PivotTable1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9:K24"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Books Needed"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A4D567-DF7C-4489-B77B-3782991D89A6}" name="PivotTable1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M3:P31" firstHeaderRow="1" firstDataRow="2" firstDataCol="1"/>
  <pivotFields count="3">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1"/>
  </colFields>
  <colItems count="3">
    <i>
      <x/>
    </i>
    <i>
      <x v="1"/>
    </i>
    <i t="grand">
      <x/>
    </i>
  </colItems>
  <dataFields count="1">
    <dataField name="Count of Books" fld="2" subtotal="count" baseField="0" baseItem="0"/>
  </dataFields>
  <chartFormats count="4">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5" format="0" series="1">
      <pivotArea type="data" outline="0" fieldPosition="0">
        <references count="2">
          <reference field="4294967294" count="1" selected="0">
            <x v="0"/>
          </reference>
          <reference field="1" count="1" selected="0">
            <x v="0"/>
          </reference>
        </references>
      </pivotArea>
    </chartFormat>
    <chartFormat chart="25" format="1"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C8D72C-C14A-40DD-A10D-83307D85C0E9}"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6:D7"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Sum of Teachers Required" fld="0" baseField="0" baseItem="0"/>
    <dataField name="Sum of Teachers Assigned" fld="1" baseField="0" baseItem="0"/>
    <dataField name="Sum of Teacher Needed" fld="2" baseField="0" baseItem="0"/>
  </dataField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 chart="13"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s_availability].[Title].&amp;[Business Studies]"/>
      </members>
    </pivotHierarchy>
    <pivotHierarchy dragToData="1"/>
    <pivotHierarchy dragToData="1"/>
    <pivotHierarchy multipleItemSelectionAllowed="1" dragToData="1">
      <members count="1" level="1">
        <member name="[Teachers_availability].[Teacher Needed].&amp;[1]"/>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Teachers_availability">
        <x15:activeTabTopLevelEntity name="[Teachers_availab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B22A0B-08E9-4C93-8B05-2484F3E73B9C}" name="PivotTable1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21:H36"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Books Available" fld="1" baseField="0" baseItem="0"/>
    <dataField name="Sum of Books Needed" fld="2" baseField="0" baseItem="0"/>
  </dataFields>
  <pivotHierarchies count="32">
    <pivotHierarchy multipleItemSelectionAllowed="1" dragToData="1">
      <members count="1" level="1">
        <member name="[Book_details].[Books].&amp;[Advanced Problems in Mathemat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Book_details">
        <x15:activeTabTopLevelEntity name="[Book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E90D24-9FA6-40DA-904A-D1A4B1AFC09F}" name="PivotTable1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B11:D33" firstHeaderRow="0"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Teachers Assigned" fld="1" baseField="0" baseItem="0"/>
    <dataField name="Sum of Teacher Needed" fld="2" baseField="0"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9" format="6"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ource_data.xlsx!Teachers_availability">
        <x15:activeTabTopLevelEntity name="[Teachers_availabil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3263D5E-94D1-4F2C-9FBE-11FDF8632334}" autoFormatId="16" applyNumberFormats="0" applyBorderFormats="0" applyFontFormats="0" applyPatternFormats="0" applyAlignmentFormats="0" applyWidthHeightFormats="0">
  <queryTableRefresh nextId="21" unboundColumnsRight="1">
    <queryTableFields count="5">
      <queryTableField id="6" name="Title" tableColumnId="6"/>
      <queryTableField id="9" name="field_1" tableColumnId="9"/>
      <queryTableField id="10" name="field_2" tableColumnId="10"/>
      <queryTableField id="11" name="field_3" tableColumnId="11"/>
      <queryTableField id="20" dataBound="0" tableColumnId="1"/>
    </queryTableFields>
    <queryTableDeletedFields count="15">
      <deletedField name="FileSystemObjectType"/>
      <deletedField name="Id"/>
      <deletedField name="ServerRedirectedEmbedUri"/>
      <deletedField name="ServerRedirectedEmbedUrl"/>
      <deletedField name="ContentTypeId"/>
      <deletedField name="OData__ColorTag"/>
      <deletedField name="ComplianceAssetId"/>
      <deletedField name="AuthorId"/>
      <deletedField name="EditorId"/>
      <deletedField name="OData__UIVersionString"/>
      <deletedField name="Attachments"/>
      <deletedField name="GUID"/>
      <deletedField name="Created"/>
      <deletedField name="Modified"/>
      <deletedField name="ID.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7491E86-805B-4748-BBF9-E843A094EB1D}" autoFormatId="16" applyNumberFormats="0" applyBorderFormats="0" applyFontFormats="0" applyPatternFormats="0" applyAlignmentFormats="0" applyWidthHeightFormats="0">
  <queryTableRefresh nextId="23">
    <queryTableFields count="7">
      <queryTableField id="6" name="Title" tableColumnId="6"/>
      <queryTableField id="9" name="field_0" tableColumnId="9"/>
      <queryTableField id="10" name="field_2" tableColumnId="10"/>
      <queryTableField id="11" name="field_3" tableColumnId="11"/>
      <queryTableField id="12" name="field_4" tableColumnId="12"/>
      <queryTableField id="13" name="field_5" tableColumnId="13"/>
      <queryTableField id="14" name="field_6" tableColumnId="14"/>
    </queryTableFields>
    <queryTableDeletedFields count="15">
      <deletedField name="FileSystemObjectType"/>
      <deletedField name="Id"/>
      <deletedField name="ServerRedirectedEmbedUri"/>
      <deletedField name="ServerRedirectedEmbedUrl"/>
      <deletedField name="ContentTypeId"/>
      <deletedField name="OData__ColorTag"/>
      <deletedField name="ComplianceAssetId"/>
      <deletedField name="ID.1"/>
      <deletedField name="Modified"/>
      <deletedField name="Created"/>
      <deletedField name="AuthorId"/>
      <deletedField name="EditorId"/>
      <deletedField name="OData__UIVersionString"/>
      <deletedField name="Attachments"/>
      <deletedField name="GU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9D484F3-5B22-4638-8896-6B9F8C682523}" autoFormatId="16" applyNumberFormats="0" applyBorderFormats="0" applyFontFormats="0" applyPatternFormats="0" applyAlignmentFormats="0" applyWidthHeightFormats="0">
  <queryTableRefresh nextId="24" unboundColumnsRight="3">
    <queryTableFields count="8">
      <queryTableField id="6" name="Title" tableColumnId="6"/>
      <queryTableField id="9" name="field_1" tableColumnId="9"/>
      <queryTableField id="10" name="field_2" tableColumnId="10"/>
      <queryTableField id="11" name="field_3" tableColumnId="11"/>
      <queryTableField id="12" name="field_4" tableColumnId="12"/>
      <queryTableField id="21" dataBound="0" tableColumnId="1"/>
      <queryTableField id="22" dataBound="0" tableColumnId="2"/>
      <queryTableField id="23" dataBound="0" tableColumnId="3"/>
    </queryTableFields>
    <queryTableDeletedFields count="15">
      <deletedField name="FileSystemObjectType"/>
      <deletedField name="Id"/>
      <deletedField name="ServerRedirectedEmbedUri"/>
      <deletedField name="ServerRedirectedEmbedUrl"/>
      <deletedField name="ContentTypeId"/>
      <deletedField name="OData__ColorTag"/>
      <deletedField name="ComplianceAssetId"/>
      <deletedField name="ID.1"/>
      <deletedField name="Modified"/>
      <deletedField name="Created"/>
      <deletedField name="AuthorId"/>
      <deletedField name="EditorId"/>
      <deletedField name="OData__UIVersionString"/>
      <deletedField name="Attachments"/>
      <deletedField name="GU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23B41D0D-11A2-4F8C-9A52-7691F597AC48}" sourceName="[Book_details].[Subject]">
  <pivotTables>
    <pivotTable tabId="1" name="PivotTable7"/>
  </pivotTables>
  <data>
    <olap pivotCacheId="236672264">
      <levels count="2">
        <level uniqueName="[Book_details].[Subject].[(All)]" sourceCaption="(All)" count="0"/>
        <level uniqueName="[Book_details].[Subject].[Subject]" sourceCaption="Subject" count="14">
          <ranges>
            <range startItem="0">
              <i n="[Book_details].[Subject].&amp;[Biology]" c="Biology"/>
              <i n="[Book_details].[Subject].&amp;[Chemistry]" c="Chemistry"/>
              <i n="[Book_details].[Subject].&amp;[Civics]" c="Civics"/>
              <i n="[Book_details].[Subject].&amp;[Commerce]" c="Commerce"/>
              <i n="[Book_details].[Subject].&amp;[Computer]" c="Computer"/>
              <i n="[Book_details].[Subject].&amp;[Economics]" c="Economics"/>
              <i n="[Book_details].[Subject].&amp;[English]" c="English"/>
              <i n="[Book_details].[Subject].&amp;[Geography]" c="Geography"/>
              <i n="[Book_details].[Subject].&amp;[Hindi]" c="Hindi"/>
              <i n="[Book_details].[Subject].&amp;[History]" c="History"/>
              <i n="[Book_details].[Subject].&amp;[Math]" c="Math"/>
              <i n="[Book_details].[Subject].&amp;[Physics]" c="Physics"/>
              <i n="[Book_details].[Subject].&amp;[Science]" c="Science"/>
              <i n="[Book_details].[Subject].&amp;[Sociology]" c="Sociology"/>
            </range>
          </ranges>
        </level>
      </levels>
      <selections count="1">
        <selection n="[Book_details].[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Items" xr10:uid="{F99B9BA8-8BBD-43E2-A930-B175276D5C9B}" sourceName="Food Items">
  <pivotTables>
    <pivotTable tabId="4" name="PivotTable1"/>
  </pivotTables>
  <data>
    <tabular pivotCacheId="114553971">
      <items count="20">
        <i x="11" s="1"/>
        <i x="8" s="1"/>
        <i x="19" s="1"/>
        <i x="1" s="1"/>
        <i x="12" s="1"/>
        <i x="17" s="1"/>
        <i x="18" s="1"/>
        <i x="16" s="1"/>
        <i x="7" s="1"/>
        <i x="2" s="1"/>
        <i x="13" s="1"/>
        <i x="14" s="1"/>
        <i x="0" s="1"/>
        <i x="3" s="1"/>
        <i x="10" s="1"/>
        <i x="6" s="1"/>
        <i x="9" s="1"/>
        <i x="15"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er___shortage__status" xr10:uid="{496D7388-75F9-43AE-89B6-52C45DC4B94A}" sourceName="[Teachers_availability].[Teacher   shortage  status]">
  <pivotTables>
    <pivotTable tabId="1" name="PivotTable1"/>
  </pivotTables>
  <data>
    <olap pivotCacheId="236672264">
      <levels count="2">
        <level uniqueName="[Teachers_availability].[Teacher   shortage  status].[(All)]" sourceCaption="(All)" count="0"/>
        <level uniqueName="[Teachers_availability].[Teacher   shortage  status].[Teacher   shortage  status]" sourceCaption="Teacher   shortage  status" count="2">
          <ranges>
            <range startItem="0">
              <i n="[Teachers_availability].[Teacher   shortage  status].&amp;[Shortage]" c="Shortage"/>
              <i n="[Teachers_availability].[Teacher   shortage  status].&amp;[Sufficient]" c="Sufficient"/>
            </range>
          </ranges>
        </level>
      </levels>
      <selections count="1">
        <selection n="[Teachers_availability].[Teacher   shortage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AF96EB50-BFF9-4965-9669-5312DF204444}" cache="Slicer_Subject" caption="Subject" level="1" rowHeight="247650"/>
  <slicer name="Food Items" xr10:uid="{63633CE8-BB3D-4A6C-BEEE-03DC3FCF8510}" cache="Slicer_Food_Items" caption="Food Items" startItem="10" rowHeight="247650"/>
  <slicer name="Teacher   shortage  status" xr10:uid="{9CED489F-45C3-4455-8CEC-1436973E75C2}" cache="Slicer_Teacher___shortage__status" caption="Teacher   shortage  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F245F-79A8-4858-98DB-09B6E87E6B23}" name="Teachers_availability" displayName="Teachers_availability" ref="A1:E22" tableType="queryTable" totalsRowShown="0">
  <tableColumns count="5">
    <tableColumn id="6" xr3:uid="{C130CFEB-5789-4D92-8F23-42F7FC80D5DE}" uniqueName="6" name="Title" queryTableFieldId="6"/>
    <tableColumn id="9" xr3:uid="{02AED72B-D6E9-4479-888B-22D22BD5FBD8}" uniqueName="9" name="Teachers Required" queryTableFieldId="9"/>
    <tableColumn id="10" xr3:uid="{AB8CC108-943F-4060-A980-5EE7D328F20F}" uniqueName="10" name="Teachers Assigned" queryTableFieldId="10"/>
    <tableColumn id="11" xr3:uid="{5990E86B-0B03-4C35-8344-EA7ED2DC3A65}" uniqueName="11" name="Teacher Needed" queryTableFieldId="11"/>
    <tableColumn id="1" xr3:uid="{605D88F0-E035-47A0-B6EE-440260B7DB87}" uniqueName="1" name="Teacher   shortage  status" queryTableFieldId="20" dataDxfId="4">
      <calculatedColumnFormula>IF(D2&gt;0, "Shortage", IF(D2=0, "Sufficient", "Surplus"))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1AA601-33E6-46B8-9148-4A78BDE8FAA4}" name="Book_details" displayName="Book_details" ref="A1:G31" tableType="queryTable" totalsRowShown="0">
  <tableColumns count="7">
    <tableColumn id="6" xr3:uid="{9F5C5921-61B6-4FE5-BDCD-85F38AD756DF}" uniqueName="6" name="Books" queryTableFieldId="6"/>
    <tableColumn id="9" xr3:uid="{0F979D86-3583-44E6-8686-BD3BDA2ECE73}" uniqueName="9" name="Book ID" queryTableFieldId="9"/>
    <tableColumn id="10" xr3:uid="{558C9B04-2AB3-47AE-BA83-A5EA1E55B3CF}" uniqueName="10" name="Author" queryTableFieldId="10"/>
    <tableColumn id="11" xr3:uid="{771B3DB6-7C5F-4606-A411-F9CAF7DA49F0}" uniqueName="11" name="Subject" queryTableFieldId="11"/>
    <tableColumn id="12" xr3:uid="{E1FDFFBD-3507-47B2-9B45-0A7B7E6B60FA}" uniqueName="12" name="Status" queryTableFieldId="12"/>
    <tableColumn id="13" xr3:uid="{063478E3-55AC-4475-A144-2EB7375936E7}" uniqueName="13" name="Books Available" queryTableFieldId="13"/>
    <tableColumn id="14" xr3:uid="{6E4AD8DF-1985-4790-8318-1AC77D2D8825}" uniqueName="14" name="Books Needed"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7BFD34-6B05-44DD-B0BC-498902A96023}" name="Food_items" displayName="Food_items" ref="A1:H21" tableType="queryTable" totalsRowShown="0">
  <tableColumns count="8">
    <tableColumn id="6" xr3:uid="{DC3DAC07-DE42-49BD-8044-47491F11C4E7}" uniqueName="6" name="Food Items" queryTableFieldId="6"/>
    <tableColumn id="9" xr3:uid="{1FAA86D6-C309-4974-A1D5-B8A40536FF92}" uniqueName="9" name="Total Quantity" queryTableFieldId="9"/>
    <tableColumn id="10" xr3:uid="{C39780CF-2C1C-4A94-8851-BB1BCE48BB44}" uniqueName="10" name="Available Quantity" queryTableFieldId="10"/>
    <tableColumn id="11" xr3:uid="{52813759-154F-475D-8599-666AC5579DB3}" uniqueName="11" name="Minimum Threshold" queryTableFieldId="11"/>
    <tableColumn id="12" xr3:uid="{FC01885C-A612-4CF8-B2DE-3B5C42CACE14}" uniqueName="12" name="Last  Updated" queryTableFieldId="12" dataDxfId="3"/>
    <tableColumn id="1" xr3:uid="{A7CCFE38-0230-4A1F-87FA-D0820DE0B0F0}" uniqueName="1" name="Status" queryTableFieldId="21" dataDxfId="2">
      <calculatedColumnFormula>IF(Food_items[[#This Row],[Available Quantity]]&lt;Food_items[[#This Row],[Minimum Threshold]],"Below Minimum","OK")</calculatedColumnFormula>
    </tableColumn>
    <tableColumn id="2" xr3:uid="{48D46AE2-7DF7-46D0-8F37-B72940B37461}" uniqueName="2" name="Reodered Needed" queryTableFieldId="22" dataDxfId="1">
      <calculatedColumnFormula>IF(C2&lt;D2, "Yes", "No")</calculatedColumnFormula>
    </tableColumn>
    <tableColumn id="3" xr3:uid="{1000B820-C9B6-4844-9A11-6FF1C7441FD5}" uniqueName="3" name="Reoder Quantity" queryTableFieldId="23" dataDxfId="0">
      <calculatedColumnFormula>IF(C2&lt;D2, D2-C2,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drawing" Target="../drawings/drawing2.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39753-6CC6-4F3E-B2C4-550939D9483E}">
  <dimension ref="A1:E22"/>
  <sheetViews>
    <sheetView workbookViewId="0">
      <selection activeCell="C2" sqref="C2"/>
    </sheetView>
  </sheetViews>
  <sheetFormatPr defaultRowHeight="14.4" x14ac:dyDescent="0.3"/>
  <cols>
    <col min="1" max="1" width="19.44140625" bestFit="1" customWidth="1"/>
    <col min="2" max="2" width="18.109375" customWidth="1"/>
    <col min="3" max="3" width="19.33203125" customWidth="1"/>
    <col min="4" max="4" width="19.88671875" customWidth="1"/>
    <col min="5" max="5" width="21.77734375" bestFit="1" customWidth="1"/>
    <col min="6" max="90" width="8.88671875" bestFit="1" customWidth="1"/>
  </cols>
  <sheetData>
    <row r="1" spans="1:5" x14ac:dyDescent="0.3">
      <c r="A1" t="s">
        <v>0</v>
      </c>
      <c r="B1" t="s">
        <v>1</v>
      </c>
      <c r="C1" t="s">
        <v>2</v>
      </c>
      <c r="D1" t="s">
        <v>3</v>
      </c>
      <c r="E1" t="s">
        <v>179</v>
      </c>
    </row>
    <row r="2" spans="1:5" x14ac:dyDescent="0.3">
      <c r="A2" t="s">
        <v>4</v>
      </c>
      <c r="B2">
        <v>3</v>
      </c>
      <c r="C2">
        <v>1</v>
      </c>
      <c r="D2">
        <v>2</v>
      </c>
      <c r="E2" t="str">
        <f t="shared" ref="E2:E22" si="0">IF(D2&gt;0, "Shortage", IF(D2=0, "Sufficient", "Surplus"))</f>
        <v>Shortage</v>
      </c>
    </row>
    <row r="3" spans="1:5" x14ac:dyDescent="0.3">
      <c r="A3" t="s">
        <v>5</v>
      </c>
      <c r="B3">
        <v>2</v>
      </c>
      <c r="C3">
        <v>2</v>
      </c>
      <c r="D3">
        <v>0</v>
      </c>
      <c r="E3" t="str">
        <f t="shared" si="0"/>
        <v>Sufficient</v>
      </c>
    </row>
    <row r="4" spans="1:5" x14ac:dyDescent="0.3">
      <c r="A4" t="s">
        <v>6</v>
      </c>
      <c r="B4">
        <v>3</v>
      </c>
      <c r="C4">
        <v>2</v>
      </c>
      <c r="D4">
        <v>1</v>
      </c>
      <c r="E4" t="str">
        <f t="shared" si="0"/>
        <v>Shortage</v>
      </c>
    </row>
    <row r="5" spans="1:5" x14ac:dyDescent="0.3">
      <c r="A5" t="s">
        <v>7</v>
      </c>
      <c r="B5">
        <v>2</v>
      </c>
      <c r="C5">
        <v>1</v>
      </c>
      <c r="D5">
        <v>1</v>
      </c>
      <c r="E5" t="str">
        <f t="shared" si="0"/>
        <v>Shortage</v>
      </c>
    </row>
    <row r="6" spans="1:5" x14ac:dyDescent="0.3">
      <c r="A6" t="s">
        <v>8</v>
      </c>
      <c r="B6">
        <v>2</v>
      </c>
      <c r="C6">
        <v>2</v>
      </c>
      <c r="D6">
        <v>0</v>
      </c>
      <c r="E6" t="str">
        <f t="shared" si="0"/>
        <v>Sufficient</v>
      </c>
    </row>
    <row r="7" spans="1:5" x14ac:dyDescent="0.3">
      <c r="A7" t="s">
        <v>9</v>
      </c>
      <c r="B7">
        <v>1</v>
      </c>
      <c r="C7">
        <v>1</v>
      </c>
      <c r="D7">
        <v>0</v>
      </c>
      <c r="E7" t="str">
        <f t="shared" si="0"/>
        <v>Sufficient</v>
      </c>
    </row>
    <row r="8" spans="1:5" x14ac:dyDescent="0.3">
      <c r="A8" t="s">
        <v>10</v>
      </c>
      <c r="B8">
        <v>2</v>
      </c>
      <c r="C8">
        <v>1</v>
      </c>
      <c r="D8">
        <v>1</v>
      </c>
      <c r="E8" t="str">
        <f t="shared" si="0"/>
        <v>Shortage</v>
      </c>
    </row>
    <row r="9" spans="1:5" x14ac:dyDescent="0.3">
      <c r="A9" t="s">
        <v>11</v>
      </c>
      <c r="B9">
        <v>1</v>
      </c>
      <c r="C9">
        <v>1</v>
      </c>
      <c r="D9">
        <v>0</v>
      </c>
      <c r="E9" t="str">
        <f t="shared" si="0"/>
        <v>Sufficient</v>
      </c>
    </row>
    <row r="10" spans="1:5" x14ac:dyDescent="0.3">
      <c r="A10" t="s">
        <v>12</v>
      </c>
      <c r="B10">
        <v>1</v>
      </c>
      <c r="C10">
        <v>1</v>
      </c>
      <c r="D10">
        <v>0</v>
      </c>
      <c r="E10" t="str">
        <f t="shared" si="0"/>
        <v>Sufficient</v>
      </c>
    </row>
    <row r="11" spans="1:5" x14ac:dyDescent="0.3">
      <c r="A11" t="s">
        <v>13</v>
      </c>
      <c r="B11">
        <v>1</v>
      </c>
      <c r="C11">
        <v>0</v>
      </c>
      <c r="D11">
        <v>1</v>
      </c>
      <c r="E11" t="str">
        <f t="shared" si="0"/>
        <v>Shortage</v>
      </c>
    </row>
    <row r="12" spans="1:5" x14ac:dyDescent="0.3">
      <c r="A12" t="s">
        <v>14</v>
      </c>
      <c r="B12">
        <v>1</v>
      </c>
      <c r="C12">
        <v>1</v>
      </c>
      <c r="D12">
        <v>0</v>
      </c>
      <c r="E12" t="str">
        <f t="shared" si="0"/>
        <v>Sufficient</v>
      </c>
    </row>
    <row r="13" spans="1:5" x14ac:dyDescent="0.3">
      <c r="A13" t="s">
        <v>15</v>
      </c>
      <c r="B13">
        <v>1</v>
      </c>
      <c r="C13">
        <v>1</v>
      </c>
      <c r="D13">
        <v>0</v>
      </c>
      <c r="E13" t="str">
        <f t="shared" si="0"/>
        <v>Sufficient</v>
      </c>
    </row>
    <row r="14" spans="1:5" x14ac:dyDescent="0.3">
      <c r="A14" t="s">
        <v>16</v>
      </c>
      <c r="B14">
        <v>2</v>
      </c>
      <c r="C14">
        <v>2</v>
      </c>
      <c r="D14">
        <v>0</v>
      </c>
      <c r="E14" t="str">
        <f t="shared" si="0"/>
        <v>Sufficient</v>
      </c>
    </row>
    <row r="15" spans="1:5" x14ac:dyDescent="0.3">
      <c r="A15" t="s">
        <v>17</v>
      </c>
      <c r="B15">
        <v>1</v>
      </c>
      <c r="C15">
        <v>1</v>
      </c>
      <c r="D15">
        <v>0</v>
      </c>
      <c r="E15" t="str">
        <f t="shared" si="0"/>
        <v>Sufficient</v>
      </c>
    </row>
    <row r="16" spans="1:5" x14ac:dyDescent="0.3">
      <c r="A16" t="s">
        <v>18</v>
      </c>
      <c r="B16">
        <v>1</v>
      </c>
      <c r="C16">
        <v>0</v>
      </c>
      <c r="D16">
        <v>1</v>
      </c>
      <c r="E16" t="str">
        <f t="shared" si="0"/>
        <v>Shortage</v>
      </c>
    </row>
    <row r="17" spans="1:5" x14ac:dyDescent="0.3">
      <c r="A17" t="s">
        <v>19</v>
      </c>
      <c r="B17">
        <v>1</v>
      </c>
      <c r="C17">
        <v>0</v>
      </c>
      <c r="D17">
        <v>1</v>
      </c>
      <c r="E17" t="str">
        <f t="shared" si="0"/>
        <v>Shortage</v>
      </c>
    </row>
    <row r="18" spans="1:5" x14ac:dyDescent="0.3">
      <c r="A18" t="s">
        <v>20</v>
      </c>
      <c r="B18">
        <v>1</v>
      </c>
      <c r="C18">
        <v>1</v>
      </c>
      <c r="D18">
        <v>0</v>
      </c>
      <c r="E18" t="str">
        <f t="shared" si="0"/>
        <v>Sufficient</v>
      </c>
    </row>
    <row r="19" spans="1:5" x14ac:dyDescent="0.3">
      <c r="A19" t="s">
        <v>21</v>
      </c>
      <c r="B19">
        <v>1</v>
      </c>
      <c r="C19">
        <v>1</v>
      </c>
      <c r="D19">
        <v>0</v>
      </c>
      <c r="E19" t="str">
        <f t="shared" si="0"/>
        <v>Sufficient</v>
      </c>
    </row>
    <row r="20" spans="1:5" x14ac:dyDescent="0.3">
      <c r="A20" t="s">
        <v>22</v>
      </c>
      <c r="B20">
        <v>2</v>
      </c>
      <c r="C20">
        <v>1</v>
      </c>
      <c r="D20">
        <v>1</v>
      </c>
      <c r="E20" t="str">
        <f t="shared" si="0"/>
        <v>Shortage</v>
      </c>
    </row>
    <row r="21" spans="1:5" x14ac:dyDescent="0.3">
      <c r="A21" t="s">
        <v>23</v>
      </c>
      <c r="B21">
        <v>2</v>
      </c>
      <c r="C21">
        <v>2</v>
      </c>
      <c r="D21">
        <v>0</v>
      </c>
      <c r="E21" t="str">
        <f t="shared" si="0"/>
        <v>Sufficient</v>
      </c>
    </row>
    <row r="22" spans="1:5" x14ac:dyDescent="0.3">
      <c r="A22" t="s">
        <v>24</v>
      </c>
      <c r="B22">
        <v>4</v>
      </c>
      <c r="C22">
        <v>2</v>
      </c>
      <c r="D22">
        <v>2</v>
      </c>
      <c r="E22" t="str">
        <f t="shared" si="0"/>
        <v>Shortage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D7C1-DDB9-44E2-806E-FCF7358CA0BB}">
  <dimension ref="A1:G31"/>
  <sheetViews>
    <sheetView topLeftCell="A10" workbookViewId="0">
      <selection activeCell="G23" sqref="G23"/>
    </sheetView>
  </sheetViews>
  <sheetFormatPr defaultRowHeight="14.4" x14ac:dyDescent="0.3"/>
  <cols>
    <col min="1" max="1" width="30" bestFit="1" customWidth="1"/>
    <col min="2" max="2" width="13.6640625" customWidth="1"/>
    <col min="3" max="3" width="17.88671875" bestFit="1" customWidth="1"/>
    <col min="4" max="4" width="17" customWidth="1"/>
    <col min="5" max="6" width="16.6640625" customWidth="1"/>
    <col min="7" max="7" width="16.5546875" customWidth="1"/>
  </cols>
  <sheetData>
    <row r="1" spans="1:7" x14ac:dyDescent="0.3">
      <c r="A1" t="s">
        <v>25</v>
      </c>
      <c r="B1" t="s">
        <v>26</v>
      </c>
      <c r="C1" t="s">
        <v>27</v>
      </c>
      <c r="D1" t="s">
        <v>28</v>
      </c>
      <c r="E1" t="s">
        <v>29</v>
      </c>
      <c r="F1" t="s">
        <v>30</v>
      </c>
      <c r="G1" t="s">
        <v>31</v>
      </c>
    </row>
    <row r="2" spans="1:7" x14ac:dyDescent="0.3">
      <c r="A2" t="s">
        <v>32</v>
      </c>
      <c r="B2" t="s">
        <v>33</v>
      </c>
      <c r="C2" t="s">
        <v>34</v>
      </c>
      <c r="D2" t="s">
        <v>4</v>
      </c>
      <c r="E2" t="s">
        <v>35</v>
      </c>
      <c r="F2">
        <v>4</v>
      </c>
      <c r="G2">
        <v>2</v>
      </c>
    </row>
    <row r="3" spans="1:7" x14ac:dyDescent="0.3">
      <c r="A3" t="s">
        <v>36</v>
      </c>
      <c r="B3" t="s">
        <v>37</v>
      </c>
      <c r="C3" t="s">
        <v>38</v>
      </c>
      <c r="D3" t="s">
        <v>7</v>
      </c>
      <c r="E3" t="s">
        <v>35</v>
      </c>
      <c r="F3">
        <v>3</v>
      </c>
      <c r="G3">
        <v>1</v>
      </c>
    </row>
    <row r="4" spans="1:7" x14ac:dyDescent="0.3">
      <c r="A4" t="s">
        <v>39</v>
      </c>
      <c r="B4" t="s">
        <v>40</v>
      </c>
      <c r="C4" t="s">
        <v>41</v>
      </c>
      <c r="D4" t="s">
        <v>6</v>
      </c>
      <c r="E4" t="s">
        <v>42</v>
      </c>
      <c r="F4">
        <v>5</v>
      </c>
      <c r="G4">
        <v>0</v>
      </c>
    </row>
    <row r="5" spans="1:7" x14ac:dyDescent="0.3">
      <c r="A5" t="s">
        <v>43</v>
      </c>
      <c r="B5" t="s">
        <v>44</v>
      </c>
      <c r="C5" t="s">
        <v>45</v>
      </c>
      <c r="D5" t="s">
        <v>8</v>
      </c>
      <c r="E5" t="s">
        <v>42</v>
      </c>
      <c r="F5">
        <v>2</v>
      </c>
      <c r="G5">
        <v>1</v>
      </c>
    </row>
    <row r="6" spans="1:7" x14ac:dyDescent="0.3">
      <c r="A6" t="s">
        <v>46</v>
      </c>
      <c r="B6" t="s">
        <v>47</v>
      </c>
      <c r="C6" t="s">
        <v>48</v>
      </c>
      <c r="D6" t="s">
        <v>9</v>
      </c>
      <c r="E6" t="s">
        <v>35</v>
      </c>
      <c r="F6">
        <v>1</v>
      </c>
      <c r="G6">
        <v>0</v>
      </c>
    </row>
    <row r="7" spans="1:7" x14ac:dyDescent="0.3">
      <c r="A7" t="s">
        <v>49</v>
      </c>
      <c r="B7" t="s">
        <v>50</v>
      </c>
      <c r="C7" t="s">
        <v>51</v>
      </c>
      <c r="D7" t="s">
        <v>10</v>
      </c>
      <c r="E7" t="s">
        <v>42</v>
      </c>
      <c r="F7">
        <v>3</v>
      </c>
      <c r="G7">
        <v>0</v>
      </c>
    </row>
    <row r="8" spans="1:7" x14ac:dyDescent="0.3">
      <c r="A8" t="s">
        <v>52</v>
      </c>
      <c r="B8" t="s">
        <v>53</v>
      </c>
      <c r="C8" t="s">
        <v>54</v>
      </c>
      <c r="D8" t="s">
        <v>55</v>
      </c>
      <c r="E8" t="s">
        <v>42</v>
      </c>
      <c r="F8">
        <v>2</v>
      </c>
      <c r="G8">
        <v>1</v>
      </c>
    </row>
    <row r="9" spans="1:7" x14ac:dyDescent="0.3">
      <c r="A9" t="s">
        <v>56</v>
      </c>
      <c r="B9" t="s">
        <v>57</v>
      </c>
      <c r="C9" t="s">
        <v>58</v>
      </c>
      <c r="D9" t="s">
        <v>11</v>
      </c>
      <c r="E9" t="s">
        <v>35</v>
      </c>
      <c r="F9">
        <v>1</v>
      </c>
      <c r="G9">
        <v>1</v>
      </c>
    </row>
    <row r="10" spans="1:7" x14ac:dyDescent="0.3">
      <c r="A10" t="s">
        <v>59</v>
      </c>
      <c r="B10" t="s">
        <v>60</v>
      </c>
      <c r="C10" t="s">
        <v>61</v>
      </c>
      <c r="D10" t="s">
        <v>12</v>
      </c>
      <c r="E10" t="s">
        <v>42</v>
      </c>
      <c r="F10">
        <v>2</v>
      </c>
      <c r="G10">
        <v>2</v>
      </c>
    </row>
    <row r="11" spans="1:7" x14ac:dyDescent="0.3">
      <c r="A11" t="s">
        <v>62</v>
      </c>
      <c r="B11" t="s">
        <v>63</v>
      </c>
      <c r="C11" t="s">
        <v>64</v>
      </c>
      <c r="D11" t="s">
        <v>5</v>
      </c>
      <c r="E11" t="s">
        <v>42</v>
      </c>
      <c r="F11">
        <v>4</v>
      </c>
      <c r="G11">
        <v>3</v>
      </c>
    </row>
    <row r="12" spans="1:7" x14ac:dyDescent="0.3">
      <c r="A12" t="s">
        <v>65</v>
      </c>
      <c r="B12" t="s">
        <v>66</v>
      </c>
      <c r="C12" t="s">
        <v>67</v>
      </c>
      <c r="D12" t="s">
        <v>4</v>
      </c>
      <c r="E12" t="s">
        <v>42</v>
      </c>
      <c r="F12">
        <v>4</v>
      </c>
      <c r="G12">
        <v>4</v>
      </c>
    </row>
    <row r="13" spans="1:7" x14ac:dyDescent="0.3">
      <c r="A13" t="s">
        <v>68</v>
      </c>
      <c r="B13" t="s">
        <v>69</v>
      </c>
      <c r="C13" t="s">
        <v>70</v>
      </c>
      <c r="D13" t="s">
        <v>5</v>
      </c>
      <c r="E13" t="s">
        <v>35</v>
      </c>
      <c r="F13">
        <v>5</v>
      </c>
      <c r="G13">
        <v>2</v>
      </c>
    </row>
    <row r="14" spans="1:7" x14ac:dyDescent="0.3">
      <c r="A14" t="s">
        <v>71</v>
      </c>
      <c r="B14" t="s">
        <v>72</v>
      </c>
      <c r="C14" t="s">
        <v>73</v>
      </c>
      <c r="D14" t="s">
        <v>6</v>
      </c>
      <c r="E14" t="s">
        <v>42</v>
      </c>
      <c r="F14">
        <v>2</v>
      </c>
      <c r="G14">
        <v>0</v>
      </c>
    </row>
    <row r="15" spans="1:7" x14ac:dyDescent="0.3">
      <c r="A15" t="s">
        <v>74</v>
      </c>
      <c r="B15" t="s">
        <v>75</v>
      </c>
      <c r="C15" t="s">
        <v>76</v>
      </c>
      <c r="D15" t="s">
        <v>8</v>
      </c>
      <c r="E15" t="s">
        <v>42</v>
      </c>
      <c r="F15">
        <v>1</v>
      </c>
      <c r="G15">
        <v>0</v>
      </c>
    </row>
    <row r="16" spans="1:7" x14ac:dyDescent="0.3">
      <c r="A16" t="s">
        <v>77</v>
      </c>
      <c r="B16" t="s">
        <v>78</v>
      </c>
      <c r="C16" t="s">
        <v>79</v>
      </c>
      <c r="D16" t="s">
        <v>13</v>
      </c>
      <c r="E16" t="s">
        <v>35</v>
      </c>
      <c r="F16">
        <v>1</v>
      </c>
      <c r="G16">
        <v>0</v>
      </c>
    </row>
    <row r="17" spans="1:7" x14ac:dyDescent="0.3">
      <c r="A17" t="s">
        <v>80</v>
      </c>
      <c r="B17" t="s">
        <v>81</v>
      </c>
      <c r="C17" t="s">
        <v>82</v>
      </c>
      <c r="D17" t="s">
        <v>5</v>
      </c>
      <c r="E17" t="s">
        <v>42</v>
      </c>
      <c r="F17">
        <v>3</v>
      </c>
      <c r="G17">
        <v>1</v>
      </c>
    </row>
    <row r="18" spans="1:7" x14ac:dyDescent="0.3">
      <c r="A18" t="s">
        <v>83</v>
      </c>
      <c r="B18" t="s">
        <v>84</v>
      </c>
      <c r="C18" t="s">
        <v>38</v>
      </c>
      <c r="D18" t="s">
        <v>4</v>
      </c>
      <c r="E18" t="s">
        <v>35</v>
      </c>
      <c r="F18">
        <v>4</v>
      </c>
      <c r="G18">
        <v>2</v>
      </c>
    </row>
    <row r="19" spans="1:7" x14ac:dyDescent="0.3">
      <c r="A19" t="s">
        <v>85</v>
      </c>
      <c r="B19" t="s">
        <v>86</v>
      </c>
      <c r="C19" t="s">
        <v>87</v>
      </c>
      <c r="D19" t="s">
        <v>10</v>
      </c>
      <c r="E19" t="s">
        <v>42</v>
      </c>
      <c r="F19">
        <v>2</v>
      </c>
      <c r="G19">
        <v>0</v>
      </c>
    </row>
    <row r="20" spans="1:7" x14ac:dyDescent="0.3">
      <c r="A20" t="s">
        <v>88</v>
      </c>
      <c r="B20" t="s">
        <v>89</v>
      </c>
      <c r="C20" t="s">
        <v>90</v>
      </c>
      <c r="D20" t="s">
        <v>55</v>
      </c>
      <c r="E20" t="s">
        <v>42</v>
      </c>
      <c r="F20">
        <v>1</v>
      </c>
      <c r="G20">
        <v>0</v>
      </c>
    </row>
    <row r="21" spans="1:7" x14ac:dyDescent="0.3">
      <c r="A21" t="s">
        <v>91</v>
      </c>
      <c r="B21" t="s">
        <v>92</v>
      </c>
      <c r="C21" t="s">
        <v>48</v>
      </c>
      <c r="D21" t="s">
        <v>9</v>
      </c>
      <c r="E21" t="s">
        <v>35</v>
      </c>
      <c r="F21">
        <v>1</v>
      </c>
      <c r="G21">
        <v>1</v>
      </c>
    </row>
    <row r="22" spans="1:7" x14ac:dyDescent="0.3">
      <c r="A22" t="s">
        <v>93</v>
      </c>
      <c r="B22" t="s">
        <v>94</v>
      </c>
      <c r="C22" t="s">
        <v>45</v>
      </c>
      <c r="D22" t="s">
        <v>8</v>
      </c>
      <c r="E22" t="s">
        <v>35</v>
      </c>
      <c r="F22">
        <v>2</v>
      </c>
      <c r="G22">
        <v>4</v>
      </c>
    </row>
    <row r="23" spans="1:7" x14ac:dyDescent="0.3">
      <c r="A23" t="s">
        <v>95</v>
      </c>
      <c r="B23" t="s">
        <v>96</v>
      </c>
      <c r="C23" t="s">
        <v>97</v>
      </c>
      <c r="D23" t="s">
        <v>6</v>
      </c>
      <c r="E23" t="s">
        <v>42</v>
      </c>
      <c r="F23">
        <v>4</v>
      </c>
      <c r="G23">
        <v>2</v>
      </c>
    </row>
    <row r="24" spans="1:7" x14ac:dyDescent="0.3">
      <c r="A24" t="s">
        <v>98</v>
      </c>
      <c r="B24" t="s">
        <v>99</v>
      </c>
      <c r="C24" t="s">
        <v>100</v>
      </c>
      <c r="D24" t="s">
        <v>55</v>
      </c>
      <c r="E24" t="s">
        <v>42</v>
      </c>
      <c r="F24">
        <v>3</v>
      </c>
      <c r="G24">
        <v>0</v>
      </c>
    </row>
    <row r="25" spans="1:7" x14ac:dyDescent="0.3">
      <c r="A25" t="s">
        <v>101</v>
      </c>
      <c r="B25" t="s">
        <v>102</v>
      </c>
      <c r="C25" t="s">
        <v>103</v>
      </c>
      <c r="D25" t="s">
        <v>104</v>
      </c>
      <c r="E25" t="s">
        <v>35</v>
      </c>
      <c r="F25">
        <v>1</v>
      </c>
      <c r="G25">
        <v>1</v>
      </c>
    </row>
    <row r="26" spans="1:7" x14ac:dyDescent="0.3">
      <c r="A26" t="s">
        <v>105</v>
      </c>
      <c r="B26" t="s">
        <v>106</v>
      </c>
      <c r="C26" t="s">
        <v>107</v>
      </c>
      <c r="D26" t="s">
        <v>9</v>
      </c>
      <c r="E26" t="s">
        <v>42</v>
      </c>
      <c r="F26">
        <v>1</v>
      </c>
      <c r="G26">
        <v>0</v>
      </c>
    </row>
    <row r="27" spans="1:7" x14ac:dyDescent="0.3">
      <c r="A27" t="s">
        <v>108</v>
      </c>
      <c r="B27" t="s">
        <v>109</v>
      </c>
      <c r="C27" t="s">
        <v>38</v>
      </c>
      <c r="D27" t="s">
        <v>12</v>
      </c>
      <c r="E27" t="s">
        <v>35</v>
      </c>
      <c r="F27">
        <v>4</v>
      </c>
      <c r="G27">
        <v>0</v>
      </c>
    </row>
    <row r="28" spans="1:7" x14ac:dyDescent="0.3">
      <c r="A28" t="s">
        <v>110</v>
      </c>
      <c r="B28" t="s">
        <v>111</v>
      </c>
      <c r="C28" t="s">
        <v>112</v>
      </c>
      <c r="D28" t="s">
        <v>113</v>
      </c>
      <c r="E28" t="s">
        <v>42</v>
      </c>
      <c r="F28">
        <v>2</v>
      </c>
      <c r="G28">
        <v>1</v>
      </c>
    </row>
    <row r="29" spans="1:7" x14ac:dyDescent="0.3">
      <c r="A29" t="s">
        <v>114</v>
      </c>
      <c r="B29" t="s">
        <v>115</v>
      </c>
      <c r="C29" t="s">
        <v>116</v>
      </c>
      <c r="D29" t="s">
        <v>11</v>
      </c>
      <c r="E29" t="s">
        <v>42</v>
      </c>
      <c r="F29">
        <v>1</v>
      </c>
      <c r="G29">
        <v>0</v>
      </c>
    </row>
    <row r="30" spans="1:7" x14ac:dyDescent="0.3">
      <c r="A30" t="s">
        <v>117</v>
      </c>
      <c r="B30" t="s">
        <v>118</v>
      </c>
      <c r="C30" t="s">
        <v>119</v>
      </c>
      <c r="D30" t="s">
        <v>14</v>
      </c>
      <c r="E30" t="s">
        <v>35</v>
      </c>
      <c r="F30">
        <v>1</v>
      </c>
      <c r="G30">
        <v>0</v>
      </c>
    </row>
    <row r="31" spans="1:7" x14ac:dyDescent="0.3">
      <c r="A31" t="s">
        <v>120</v>
      </c>
      <c r="B31" t="s">
        <v>121</v>
      </c>
      <c r="C31" t="s">
        <v>122</v>
      </c>
      <c r="D31" t="s">
        <v>7</v>
      </c>
      <c r="E31" t="s">
        <v>42</v>
      </c>
      <c r="F31">
        <v>4</v>
      </c>
      <c r="G3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6DE5-DE9E-40EE-98E6-7C593C38E88F}">
  <dimension ref="A1:U70"/>
  <sheetViews>
    <sheetView zoomScale="87" workbookViewId="0">
      <selection activeCell="O19" sqref="O19"/>
    </sheetView>
  </sheetViews>
  <sheetFormatPr defaultRowHeight="14.4" x14ac:dyDescent="0.3"/>
  <cols>
    <col min="1" max="1" width="23" customWidth="1"/>
    <col min="2" max="2" width="15.44140625" customWidth="1"/>
    <col min="3" max="3" width="17.44140625" customWidth="1"/>
    <col min="4" max="4" width="20.33203125" customWidth="1"/>
    <col min="5" max="5" width="16.5546875" style="1" customWidth="1"/>
    <col min="6" max="6" width="16.21875" customWidth="1"/>
    <col min="7" max="7" width="17.77734375" customWidth="1"/>
    <col min="8" max="8" width="17" customWidth="1"/>
    <col min="9" max="9" width="14.44140625" bestFit="1" customWidth="1"/>
    <col min="10" max="10" width="17.77734375" bestFit="1" customWidth="1"/>
    <col min="11" max="11" width="22.5546875" bestFit="1" customWidth="1"/>
    <col min="12" max="12" width="15.6640625" bestFit="1" customWidth="1"/>
    <col min="13" max="13" width="20.77734375" bestFit="1" customWidth="1"/>
    <col min="16" max="16" width="12.77734375" bestFit="1" customWidth="1"/>
    <col min="17" max="17" width="22.6640625" bestFit="1" customWidth="1"/>
    <col min="20" max="20" width="12.77734375" bestFit="1" customWidth="1"/>
    <col min="21" max="21" width="22.6640625" bestFit="1" customWidth="1"/>
    <col min="22" max="28" width="2" bestFit="1" customWidth="1"/>
    <col min="29" max="37" width="3" bestFit="1" customWidth="1"/>
    <col min="38" max="38" width="10.5546875" bestFit="1" customWidth="1"/>
  </cols>
  <sheetData>
    <row r="1" spans="1:10" x14ac:dyDescent="0.3">
      <c r="A1" t="s">
        <v>123</v>
      </c>
      <c r="B1" t="s">
        <v>124</v>
      </c>
      <c r="C1" t="s">
        <v>125</v>
      </c>
      <c r="D1" t="s">
        <v>126</v>
      </c>
      <c r="E1" s="1" t="s">
        <v>127</v>
      </c>
      <c r="F1" t="s">
        <v>29</v>
      </c>
      <c r="G1" t="s">
        <v>180</v>
      </c>
      <c r="H1" t="s">
        <v>181</v>
      </c>
      <c r="I1" s="2" t="s">
        <v>170</v>
      </c>
      <c r="J1" t="s">
        <v>174</v>
      </c>
    </row>
    <row r="2" spans="1:10" x14ac:dyDescent="0.3">
      <c r="A2" t="s">
        <v>128</v>
      </c>
      <c r="B2" t="s">
        <v>129</v>
      </c>
      <c r="C2">
        <v>15</v>
      </c>
      <c r="D2">
        <v>20</v>
      </c>
      <c r="E2" s="1">
        <v>45860</v>
      </c>
      <c r="F2" t="str">
        <f>IF(Food_items[[#This Row],[Available Quantity]]&lt;Food_items[[#This Row],[Minimum Threshold]],"Below Minimum","OK")</f>
        <v>Below Minimum</v>
      </c>
      <c r="G2" t="str">
        <f t="shared" ref="G2:G21" si="0">IF(C2&lt;D2, "Yes", "No")</f>
        <v>Yes</v>
      </c>
      <c r="H2">
        <f t="shared" ref="H2:H21" si="1">IF(C2&lt;D2, D2-C2, 0)</f>
        <v>5</v>
      </c>
      <c r="I2" s="4">
        <v>45860</v>
      </c>
      <c r="J2">
        <v>20</v>
      </c>
    </row>
    <row r="3" spans="1:10" x14ac:dyDescent="0.3">
      <c r="A3" t="s">
        <v>130</v>
      </c>
      <c r="B3" t="s">
        <v>131</v>
      </c>
      <c r="C3">
        <v>25</v>
      </c>
      <c r="D3">
        <v>15</v>
      </c>
      <c r="E3" s="1">
        <v>45860</v>
      </c>
      <c r="F3" t="str">
        <f>IF(Food_items[[#This Row],[Available Quantity]]&lt;Food_items[[#This Row],[Minimum Threshold]],"Below Minimum","OK")</f>
        <v>OK</v>
      </c>
      <c r="G3" t="str">
        <f t="shared" si="0"/>
        <v>No</v>
      </c>
      <c r="H3">
        <f t="shared" si="1"/>
        <v>0</v>
      </c>
      <c r="I3" s="4" t="s">
        <v>165</v>
      </c>
      <c r="J3">
        <v>20</v>
      </c>
    </row>
    <row r="4" spans="1:10" x14ac:dyDescent="0.3">
      <c r="A4" t="s">
        <v>132</v>
      </c>
      <c r="B4" t="s">
        <v>133</v>
      </c>
      <c r="C4">
        <v>5</v>
      </c>
      <c r="D4">
        <v>10</v>
      </c>
      <c r="E4" s="1">
        <v>45860</v>
      </c>
      <c r="F4" t="str">
        <f>IF(Food_items[[#This Row],[Available Quantity]]&lt;Food_items[[#This Row],[Minimum Threshold]],"Below Minimum","OK")</f>
        <v>Below Minimum</v>
      </c>
      <c r="G4" t="str">
        <f t="shared" si="0"/>
        <v>Yes</v>
      </c>
      <c r="H4">
        <f t="shared" si="1"/>
        <v>5</v>
      </c>
    </row>
    <row r="5" spans="1:10" x14ac:dyDescent="0.3">
      <c r="A5" t="s">
        <v>134</v>
      </c>
      <c r="B5" t="s">
        <v>135</v>
      </c>
      <c r="C5">
        <v>7</v>
      </c>
      <c r="D5">
        <v>5</v>
      </c>
      <c r="E5" s="1">
        <v>45860</v>
      </c>
      <c r="F5" t="str">
        <f>IF(Food_items[[#This Row],[Available Quantity]]&lt;Food_items[[#This Row],[Minimum Threshold]],"Below Minimum","OK")</f>
        <v>OK</v>
      </c>
      <c r="G5" t="str">
        <f t="shared" si="0"/>
        <v>No</v>
      </c>
      <c r="H5">
        <f t="shared" si="1"/>
        <v>0</v>
      </c>
    </row>
    <row r="6" spans="1:10" x14ac:dyDescent="0.3">
      <c r="A6" t="s">
        <v>136</v>
      </c>
      <c r="B6" t="s">
        <v>137</v>
      </c>
      <c r="C6">
        <v>18</v>
      </c>
      <c r="D6">
        <v>10</v>
      </c>
      <c r="E6" s="1">
        <v>45860</v>
      </c>
      <c r="F6" t="str">
        <f>IF(Food_items[[#This Row],[Available Quantity]]&lt;Food_items[[#This Row],[Minimum Threshold]],"Below Minimum","OK")</f>
        <v>OK</v>
      </c>
      <c r="G6" t="str">
        <f t="shared" si="0"/>
        <v>No</v>
      </c>
      <c r="H6">
        <f t="shared" si="1"/>
        <v>0</v>
      </c>
    </row>
    <row r="7" spans="1:10" x14ac:dyDescent="0.3">
      <c r="A7" t="s">
        <v>138</v>
      </c>
      <c r="B7" t="s">
        <v>139</v>
      </c>
      <c r="C7">
        <v>22</v>
      </c>
      <c r="D7">
        <v>30</v>
      </c>
      <c r="E7" s="1">
        <v>45860</v>
      </c>
      <c r="F7" t="str">
        <f>IF(Food_items[[#This Row],[Available Quantity]]&lt;Food_items[[#This Row],[Minimum Threshold]],"Below Minimum","OK")</f>
        <v>Below Minimum</v>
      </c>
      <c r="G7" t="str">
        <f t="shared" si="0"/>
        <v>Yes</v>
      </c>
      <c r="H7">
        <f t="shared" si="1"/>
        <v>8</v>
      </c>
    </row>
    <row r="8" spans="1:10" x14ac:dyDescent="0.3">
      <c r="A8" t="s">
        <v>140</v>
      </c>
      <c r="B8" t="s">
        <v>141</v>
      </c>
      <c r="C8">
        <v>12</v>
      </c>
      <c r="D8">
        <v>10</v>
      </c>
      <c r="E8" s="1">
        <v>45860</v>
      </c>
      <c r="F8" t="str">
        <f>IF(Food_items[[#This Row],[Available Quantity]]&lt;Food_items[[#This Row],[Minimum Threshold]],"Below Minimum","OK")</f>
        <v>OK</v>
      </c>
      <c r="G8" t="str">
        <f t="shared" si="0"/>
        <v>No</v>
      </c>
      <c r="H8">
        <f t="shared" si="1"/>
        <v>0</v>
      </c>
    </row>
    <row r="9" spans="1:10" x14ac:dyDescent="0.3">
      <c r="A9" t="s">
        <v>142</v>
      </c>
      <c r="B9" t="s">
        <v>143</v>
      </c>
      <c r="C9">
        <v>40</v>
      </c>
      <c r="D9">
        <v>30</v>
      </c>
      <c r="E9" s="1">
        <v>45860</v>
      </c>
      <c r="F9" t="str">
        <f>IF(Food_items[[#This Row],[Available Quantity]]&lt;Food_items[[#This Row],[Minimum Threshold]],"Below Minimum","OK")</f>
        <v>OK</v>
      </c>
      <c r="G9" t="str">
        <f t="shared" si="0"/>
        <v>No</v>
      </c>
      <c r="H9">
        <f t="shared" si="1"/>
        <v>0</v>
      </c>
    </row>
    <row r="10" spans="1:10" x14ac:dyDescent="0.3">
      <c r="A10" t="s">
        <v>144</v>
      </c>
      <c r="B10" t="s">
        <v>135</v>
      </c>
      <c r="C10">
        <v>3</v>
      </c>
      <c r="D10">
        <v>5</v>
      </c>
      <c r="E10" s="1">
        <v>45860</v>
      </c>
      <c r="F10" t="str">
        <f>IF(Food_items[[#This Row],[Available Quantity]]&lt;Food_items[[#This Row],[Minimum Threshold]],"Below Minimum","OK")</f>
        <v>Below Minimum</v>
      </c>
      <c r="G10" t="str">
        <f t="shared" si="0"/>
        <v>Yes</v>
      </c>
      <c r="H10">
        <f t="shared" si="1"/>
        <v>2</v>
      </c>
    </row>
    <row r="11" spans="1:10" x14ac:dyDescent="0.3">
      <c r="A11" t="s">
        <v>145</v>
      </c>
      <c r="B11" t="s">
        <v>146</v>
      </c>
      <c r="C11">
        <v>2</v>
      </c>
      <c r="D11">
        <v>3</v>
      </c>
      <c r="E11" s="1">
        <v>45860</v>
      </c>
      <c r="F11" t="str">
        <f>IF(Food_items[[#This Row],[Available Quantity]]&lt;Food_items[[#This Row],[Minimum Threshold]],"Below Minimum","OK")</f>
        <v>Below Minimum</v>
      </c>
      <c r="G11" t="str">
        <f t="shared" si="0"/>
        <v>Yes</v>
      </c>
      <c r="H11">
        <f t="shared" si="1"/>
        <v>1</v>
      </c>
    </row>
    <row r="12" spans="1:10" x14ac:dyDescent="0.3">
      <c r="A12" t="s">
        <v>147</v>
      </c>
      <c r="B12" t="s">
        <v>148</v>
      </c>
      <c r="C12">
        <v>4</v>
      </c>
      <c r="D12">
        <v>5</v>
      </c>
      <c r="E12" s="1">
        <v>45860</v>
      </c>
      <c r="F12" t="str">
        <f>IF(Food_items[[#This Row],[Available Quantity]]&lt;Food_items[[#This Row],[Minimum Threshold]],"Below Minimum","OK")</f>
        <v>Below Minimum</v>
      </c>
      <c r="G12" t="str">
        <f t="shared" si="0"/>
        <v>Yes</v>
      </c>
      <c r="H12">
        <f t="shared" si="1"/>
        <v>1</v>
      </c>
    </row>
    <row r="13" spans="1:10" x14ac:dyDescent="0.3">
      <c r="A13" t="s">
        <v>149</v>
      </c>
      <c r="B13" t="s">
        <v>150</v>
      </c>
      <c r="C13">
        <v>20</v>
      </c>
      <c r="D13">
        <v>15</v>
      </c>
      <c r="E13" s="1">
        <v>45860</v>
      </c>
      <c r="F13" t="str">
        <f>IF(Food_items[[#This Row],[Available Quantity]]&lt;Food_items[[#This Row],[Minimum Threshold]],"Below Minimum","OK")</f>
        <v>OK</v>
      </c>
      <c r="G13" t="str">
        <f t="shared" si="0"/>
        <v>No</v>
      </c>
      <c r="H13">
        <f t="shared" si="1"/>
        <v>0</v>
      </c>
    </row>
    <row r="14" spans="1:10" x14ac:dyDescent="0.3">
      <c r="A14" t="s">
        <v>151</v>
      </c>
      <c r="B14" t="s">
        <v>152</v>
      </c>
      <c r="C14">
        <v>10</v>
      </c>
      <c r="D14">
        <v>20</v>
      </c>
      <c r="E14" s="1">
        <v>45860</v>
      </c>
      <c r="F14" t="str">
        <f>IF(Food_items[[#This Row],[Available Quantity]]&lt;Food_items[[#This Row],[Minimum Threshold]],"Below Minimum","OK")</f>
        <v>Below Minimum</v>
      </c>
      <c r="G14" t="str">
        <f t="shared" si="0"/>
        <v>Yes</v>
      </c>
      <c r="H14">
        <f t="shared" si="1"/>
        <v>10</v>
      </c>
    </row>
    <row r="15" spans="1:10" x14ac:dyDescent="0.3">
      <c r="A15" t="s">
        <v>153</v>
      </c>
      <c r="B15" t="s">
        <v>154</v>
      </c>
      <c r="C15">
        <v>12</v>
      </c>
      <c r="D15">
        <v>15</v>
      </c>
      <c r="E15" s="1">
        <v>45860</v>
      </c>
      <c r="F15" t="str">
        <f>IF(Food_items[[#This Row],[Available Quantity]]&lt;Food_items[[#This Row],[Minimum Threshold]],"Below Minimum","OK")</f>
        <v>Below Minimum</v>
      </c>
      <c r="G15" t="str">
        <f t="shared" si="0"/>
        <v>Yes</v>
      </c>
      <c r="H15">
        <f t="shared" si="1"/>
        <v>3</v>
      </c>
    </row>
    <row r="16" spans="1:10" x14ac:dyDescent="0.3">
      <c r="A16" t="s">
        <v>155</v>
      </c>
      <c r="B16" t="s">
        <v>156</v>
      </c>
      <c r="C16">
        <v>8</v>
      </c>
      <c r="D16">
        <v>10</v>
      </c>
      <c r="E16" s="1">
        <v>45860</v>
      </c>
      <c r="F16" t="str">
        <f>IF(Food_items[[#This Row],[Available Quantity]]&lt;Food_items[[#This Row],[Minimum Threshold]],"Below Minimum","OK")</f>
        <v>Below Minimum</v>
      </c>
      <c r="G16" t="str">
        <f t="shared" si="0"/>
        <v>Yes</v>
      </c>
      <c r="H16">
        <f t="shared" si="1"/>
        <v>2</v>
      </c>
    </row>
    <row r="17" spans="1:21" x14ac:dyDescent="0.3">
      <c r="A17" t="s">
        <v>157</v>
      </c>
      <c r="B17" t="s">
        <v>158</v>
      </c>
      <c r="C17">
        <v>6</v>
      </c>
      <c r="D17">
        <v>10</v>
      </c>
      <c r="E17" s="1">
        <v>45860</v>
      </c>
      <c r="F17" t="str">
        <f>IF(Food_items[[#This Row],[Available Quantity]]&lt;Food_items[[#This Row],[Minimum Threshold]],"Below Minimum","OK")</f>
        <v>Below Minimum</v>
      </c>
      <c r="G17" t="str">
        <f t="shared" si="0"/>
        <v>Yes</v>
      </c>
      <c r="H17">
        <f t="shared" si="1"/>
        <v>4</v>
      </c>
    </row>
    <row r="18" spans="1:21" x14ac:dyDescent="0.3">
      <c r="A18" t="s">
        <v>159</v>
      </c>
      <c r="B18" t="s">
        <v>141</v>
      </c>
      <c r="C18">
        <v>13</v>
      </c>
      <c r="D18">
        <v>10</v>
      </c>
      <c r="E18" s="1">
        <v>45860</v>
      </c>
      <c r="F18" t="str">
        <f>IF(Food_items[[#This Row],[Available Quantity]]&lt;Food_items[[#This Row],[Minimum Threshold]],"Below Minimum","OK")</f>
        <v>OK</v>
      </c>
      <c r="G18" t="str">
        <f t="shared" si="0"/>
        <v>No</v>
      </c>
      <c r="H18">
        <f t="shared" si="1"/>
        <v>0</v>
      </c>
    </row>
    <row r="19" spans="1:21" x14ac:dyDescent="0.3">
      <c r="A19" t="s">
        <v>160</v>
      </c>
      <c r="B19" t="s">
        <v>146</v>
      </c>
      <c r="C19">
        <v>3</v>
      </c>
      <c r="D19">
        <v>2</v>
      </c>
      <c r="E19" s="1">
        <v>45860</v>
      </c>
      <c r="F19" t="str">
        <f>IF(Food_items[[#This Row],[Available Quantity]]&lt;Food_items[[#This Row],[Minimum Threshold]],"Below Minimum","OK")</f>
        <v>OK</v>
      </c>
      <c r="G19" t="str">
        <f t="shared" si="0"/>
        <v>No</v>
      </c>
      <c r="H19">
        <f t="shared" si="1"/>
        <v>0</v>
      </c>
    </row>
    <row r="20" spans="1:21" x14ac:dyDescent="0.3">
      <c r="A20" t="s">
        <v>161</v>
      </c>
      <c r="B20" t="s">
        <v>162</v>
      </c>
      <c r="C20">
        <v>1</v>
      </c>
      <c r="D20">
        <v>2</v>
      </c>
      <c r="E20" s="1">
        <v>45860</v>
      </c>
      <c r="F20" t="str">
        <f>IF(Food_items[[#This Row],[Available Quantity]]&lt;Food_items[[#This Row],[Minimum Threshold]],"Below Minimum","OK")</f>
        <v>Below Minimum</v>
      </c>
      <c r="G20" t="str">
        <f t="shared" si="0"/>
        <v>Yes</v>
      </c>
      <c r="H20">
        <f t="shared" si="1"/>
        <v>1</v>
      </c>
      <c r="P20" s="9" t="s">
        <v>191</v>
      </c>
      <c r="Q20" s="9"/>
    </row>
    <row r="21" spans="1:21" x14ac:dyDescent="0.3">
      <c r="A21" t="s">
        <v>163</v>
      </c>
      <c r="B21" t="s">
        <v>164</v>
      </c>
      <c r="C21">
        <v>4</v>
      </c>
      <c r="D21">
        <v>3</v>
      </c>
      <c r="E21" s="1">
        <v>45860</v>
      </c>
      <c r="F21" t="str">
        <f>IF(Food_items[[#This Row],[Available Quantity]]&lt;Food_items[[#This Row],[Minimum Threshold]],"Below Minimum","OK")</f>
        <v>OK</v>
      </c>
      <c r="G21" t="str">
        <f t="shared" si="0"/>
        <v>No</v>
      </c>
      <c r="H21">
        <f t="shared" si="1"/>
        <v>0</v>
      </c>
    </row>
    <row r="22" spans="1:21" x14ac:dyDescent="0.3">
      <c r="L22" s="2" t="s">
        <v>180</v>
      </c>
      <c r="M22" t="s">
        <v>192</v>
      </c>
      <c r="P22" s="2" t="s">
        <v>170</v>
      </c>
      <c r="Q22" t="s">
        <v>175</v>
      </c>
    </row>
    <row r="23" spans="1:21" x14ac:dyDescent="0.3">
      <c r="P23" s="3" t="s">
        <v>149</v>
      </c>
      <c r="Q23">
        <v>20</v>
      </c>
    </row>
    <row r="24" spans="1:21" x14ac:dyDescent="0.3">
      <c r="I24" s="2" t="s">
        <v>170</v>
      </c>
      <c r="J24" t="s">
        <v>174</v>
      </c>
      <c r="L24" s="2" t="s">
        <v>170</v>
      </c>
      <c r="M24" t="s">
        <v>187</v>
      </c>
      <c r="P24" s="3" t="s">
        <v>144</v>
      </c>
      <c r="Q24">
        <v>3</v>
      </c>
    </row>
    <row r="25" spans="1:21" x14ac:dyDescent="0.3">
      <c r="I25" s="3" t="s">
        <v>182</v>
      </c>
      <c r="J25">
        <v>11</v>
      </c>
      <c r="L25" s="3" t="s">
        <v>144</v>
      </c>
      <c r="M25">
        <v>2</v>
      </c>
      <c r="P25" s="3" t="s">
        <v>163</v>
      </c>
      <c r="Q25">
        <v>4</v>
      </c>
    </row>
    <row r="26" spans="1:21" x14ac:dyDescent="0.3">
      <c r="I26" s="3" t="s">
        <v>183</v>
      </c>
      <c r="J26">
        <v>9</v>
      </c>
      <c r="L26" s="3" t="s">
        <v>151</v>
      </c>
      <c r="M26">
        <v>10</v>
      </c>
      <c r="P26" s="3" t="s">
        <v>130</v>
      </c>
      <c r="Q26">
        <v>25</v>
      </c>
      <c r="T26" s="2" t="s">
        <v>170</v>
      </c>
      <c r="U26" t="s">
        <v>175</v>
      </c>
    </row>
    <row r="27" spans="1:21" x14ac:dyDescent="0.3">
      <c r="I27" s="3" t="s">
        <v>196</v>
      </c>
      <c r="L27" s="3" t="s">
        <v>161</v>
      </c>
      <c r="M27">
        <v>1</v>
      </c>
      <c r="P27" s="3" t="s">
        <v>151</v>
      </c>
      <c r="Q27">
        <v>10</v>
      </c>
      <c r="T27" s="3" t="s">
        <v>129</v>
      </c>
      <c r="U27">
        <v>15</v>
      </c>
    </row>
    <row r="28" spans="1:21" x14ac:dyDescent="0.3">
      <c r="I28" s="3" t="s">
        <v>165</v>
      </c>
      <c r="J28">
        <v>20</v>
      </c>
      <c r="L28" s="3" t="s">
        <v>132</v>
      </c>
      <c r="M28">
        <v>5</v>
      </c>
      <c r="P28" s="3" t="s">
        <v>160</v>
      </c>
      <c r="Q28">
        <v>3</v>
      </c>
      <c r="T28" s="3" t="s">
        <v>141</v>
      </c>
      <c r="U28">
        <v>25</v>
      </c>
    </row>
    <row r="29" spans="1:21" x14ac:dyDescent="0.3">
      <c r="I29" s="5" t="s">
        <v>186</v>
      </c>
      <c r="L29" s="3" t="s">
        <v>153</v>
      </c>
      <c r="M29">
        <v>3</v>
      </c>
      <c r="P29" s="3" t="s">
        <v>161</v>
      </c>
      <c r="Q29">
        <v>1</v>
      </c>
      <c r="T29" s="3" t="s">
        <v>158</v>
      </c>
      <c r="U29">
        <v>6</v>
      </c>
    </row>
    <row r="30" spans="1:21" x14ac:dyDescent="0.3">
      <c r="L30" s="3" t="s">
        <v>155</v>
      </c>
      <c r="M30">
        <v>2</v>
      </c>
      <c r="P30" s="3" t="s">
        <v>159</v>
      </c>
      <c r="Q30">
        <v>13</v>
      </c>
      <c r="T30" s="3" t="s">
        <v>133</v>
      </c>
      <c r="U30">
        <v>5</v>
      </c>
    </row>
    <row r="31" spans="1:21" x14ac:dyDescent="0.3">
      <c r="L31" s="3" t="s">
        <v>128</v>
      </c>
      <c r="M31">
        <v>5</v>
      </c>
      <c r="P31" s="3" t="s">
        <v>142</v>
      </c>
      <c r="Q31">
        <v>40</v>
      </c>
      <c r="T31" s="3" t="s">
        <v>152</v>
      </c>
      <c r="U31">
        <v>10</v>
      </c>
    </row>
    <row r="32" spans="1:21" x14ac:dyDescent="0.3">
      <c r="L32" s="3" t="s">
        <v>147</v>
      </c>
      <c r="M32">
        <v>1</v>
      </c>
      <c r="P32" s="3" t="s">
        <v>132</v>
      </c>
      <c r="Q32">
        <v>5</v>
      </c>
      <c r="T32" s="3" t="s">
        <v>162</v>
      </c>
      <c r="U32">
        <v>1</v>
      </c>
    </row>
    <row r="33" spans="9:21" x14ac:dyDescent="0.3">
      <c r="L33" s="3" t="s">
        <v>145</v>
      </c>
      <c r="M33">
        <v>1</v>
      </c>
      <c r="P33" s="3" t="s">
        <v>153</v>
      </c>
      <c r="Q33">
        <v>12</v>
      </c>
      <c r="T33" s="3" t="s">
        <v>137</v>
      </c>
      <c r="U33">
        <v>18</v>
      </c>
    </row>
    <row r="34" spans="9:21" x14ac:dyDescent="0.3">
      <c r="L34" s="3" t="s">
        <v>157</v>
      </c>
      <c r="M34">
        <v>4</v>
      </c>
      <c r="P34" s="3" t="s">
        <v>155</v>
      </c>
      <c r="Q34">
        <v>8</v>
      </c>
      <c r="T34" s="3" t="s">
        <v>154</v>
      </c>
      <c r="U34">
        <v>12</v>
      </c>
    </row>
    <row r="35" spans="9:21" x14ac:dyDescent="0.3">
      <c r="L35" s="3" t="s">
        <v>138</v>
      </c>
      <c r="M35">
        <v>8</v>
      </c>
      <c r="P35" s="3" t="s">
        <v>128</v>
      </c>
      <c r="Q35">
        <v>15</v>
      </c>
      <c r="T35" s="3" t="s">
        <v>146</v>
      </c>
      <c r="U35">
        <v>5</v>
      </c>
    </row>
    <row r="36" spans="9:21" x14ac:dyDescent="0.3">
      <c r="L36" s="3" t="s">
        <v>165</v>
      </c>
      <c r="M36">
        <v>42</v>
      </c>
      <c r="P36" s="3" t="s">
        <v>134</v>
      </c>
      <c r="Q36">
        <v>7</v>
      </c>
      <c r="T36" s="3" t="s">
        <v>131</v>
      </c>
      <c r="U36">
        <v>25</v>
      </c>
    </row>
    <row r="37" spans="9:21" x14ac:dyDescent="0.3">
      <c r="I37" t="str" cm="1">
        <f t="array" ref="I37:J40">I24:J27</f>
        <v>Row Labels</v>
      </c>
      <c r="J37" t="str">
        <v>Count of Food Items</v>
      </c>
      <c r="P37" s="3" t="s">
        <v>147</v>
      </c>
      <c r="Q37">
        <v>4</v>
      </c>
      <c r="T37" s="3" t="s">
        <v>150</v>
      </c>
      <c r="U37">
        <v>20</v>
      </c>
    </row>
    <row r="38" spans="9:21" x14ac:dyDescent="0.3">
      <c r="I38" t="str">
        <v>Below Minimum</v>
      </c>
      <c r="J38">
        <v>11</v>
      </c>
      <c r="P38" s="3" t="s">
        <v>140</v>
      </c>
      <c r="Q38">
        <v>12</v>
      </c>
      <c r="T38" s="3" t="s">
        <v>164</v>
      </c>
      <c r="U38">
        <v>4</v>
      </c>
    </row>
    <row r="39" spans="9:21" x14ac:dyDescent="0.3">
      <c r="I39" t="str">
        <v>OK</v>
      </c>
      <c r="J39">
        <v>9</v>
      </c>
      <c r="P39" s="3" t="s">
        <v>145</v>
      </c>
      <c r="Q39">
        <v>2</v>
      </c>
      <c r="T39" s="3" t="s">
        <v>156</v>
      </c>
      <c r="U39">
        <v>8</v>
      </c>
    </row>
    <row r="40" spans="9:21" x14ac:dyDescent="0.3">
      <c r="I40" t="str">
        <v>Formula1</v>
      </c>
      <c r="J40">
        <v>0</v>
      </c>
      <c r="P40" s="3" t="s">
        <v>157</v>
      </c>
      <c r="Q40">
        <v>6</v>
      </c>
      <c r="T40" s="3" t="s">
        <v>143</v>
      </c>
      <c r="U40">
        <v>40</v>
      </c>
    </row>
    <row r="41" spans="9:21" x14ac:dyDescent="0.3">
      <c r="P41" s="3" t="s">
        <v>136</v>
      </c>
      <c r="Q41">
        <v>18</v>
      </c>
      <c r="T41" s="3" t="s">
        <v>148</v>
      </c>
      <c r="U41">
        <v>4</v>
      </c>
    </row>
    <row r="42" spans="9:21" x14ac:dyDescent="0.3">
      <c r="P42" s="3" t="s">
        <v>138</v>
      </c>
      <c r="Q42">
        <v>22</v>
      </c>
      <c r="T42" s="3" t="s">
        <v>139</v>
      </c>
      <c r="U42">
        <v>22</v>
      </c>
    </row>
    <row r="43" spans="9:21" x14ac:dyDescent="0.3">
      <c r="P43" s="3" t="s">
        <v>165</v>
      </c>
      <c r="Q43">
        <v>230</v>
      </c>
      <c r="T43" s="3" t="s">
        <v>165</v>
      </c>
      <c r="U43">
        <v>220</v>
      </c>
    </row>
    <row r="49" spans="12:21" x14ac:dyDescent="0.3">
      <c r="L49" t="str" cm="1">
        <f t="array" ref="L49:M63">L22:M36</f>
        <v>Reodered Needed</v>
      </c>
      <c r="M49" t="str">
        <v>Yes</v>
      </c>
      <c r="P49" t="str" cm="1">
        <f t="array" ref="P49:Q70">P22:Q43</f>
        <v>Row Labels</v>
      </c>
      <c r="Q49" t="str">
        <v>Sum of Available Quantity</v>
      </c>
      <c r="T49" t="str" cm="1">
        <f t="array" ref="T49:U66">T26:U43</f>
        <v>Row Labels</v>
      </c>
      <c r="U49" t="str">
        <v>Sum of Available Quantity</v>
      </c>
    </row>
    <row r="50" spans="12:21" x14ac:dyDescent="0.3">
      <c r="L50">
        <v>0</v>
      </c>
      <c r="M50">
        <v>0</v>
      </c>
      <c r="P50" t="str">
        <v>Biscuits</v>
      </c>
      <c r="Q50">
        <v>20</v>
      </c>
      <c r="T50" t="str">
        <v>100 kg</v>
      </c>
      <c r="U50">
        <v>15</v>
      </c>
    </row>
    <row r="51" spans="12:21" x14ac:dyDescent="0.3">
      <c r="L51" t="str">
        <v>Row Labels</v>
      </c>
      <c r="M51" t="str">
        <v>Sum of Reoder Quantity</v>
      </c>
      <c r="P51" t="str">
        <v>Butter</v>
      </c>
      <c r="Q51">
        <v>3</v>
      </c>
      <c r="T51" t="str">
        <v>25 kg</v>
      </c>
      <c r="U51">
        <v>25</v>
      </c>
    </row>
    <row r="52" spans="12:21" x14ac:dyDescent="0.3">
      <c r="L52" t="str">
        <v>Butter</v>
      </c>
      <c r="M52">
        <v>2</v>
      </c>
      <c r="P52" t="str">
        <v>Chillies</v>
      </c>
      <c r="Q52">
        <v>4</v>
      </c>
      <c r="T52" t="str">
        <v>30 kg</v>
      </c>
      <c r="U52">
        <v>6</v>
      </c>
    </row>
    <row r="53" spans="12:21" x14ac:dyDescent="0.3">
      <c r="L53" t="str">
        <v>Fruits</v>
      </c>
      <c r="M53">
        <v>10</v>
      </c>
      <c r="P53" t="str">
        <v>Dal</v>
      </c>
      <c r="Q53">
        <v>25</v>
      </c>
      <c r="T53" t="str">
        <v>30 litre</v>
      </c>
      <c r="U53">
        <v>5</v>
      </c>
    </row>
    <row r="54" spans="12:21" x14ac:dyDescent="0.3">
      <c r="L54" t="str">
        <v>Ginger</v>
      </c>
      <c r="M54">
        <v>1</v>
      </c>
      <c r="P54" t="str">
        <v>Fruits</v>
      </c>
      <c r="Q54">
        <v>10</v>
      </c>
      <c r="T54" t="str">
        <v>35 kg</v>
      </c>
      <c r="U54">
        <v>10</v>
      </c>
    </row>
    <row r="55" spans="12:21" x14ac:dyDescent="0.3">
      <c r="L55" t="str">
        <v>Oil</v>
      </c>
      <c r="M55">
        <v>5</v>
      </c>
      <c r="P55" t="str">
        <v>Garlic</v>
      </c>
      <c r="Q55">
        <v>3</v>
      </c>
      <c r="T55" t="str">
        <v>4 kg</v>
      </c>
      <c r="U55">
        <v>1</v>
      </c>
    </row>
    <row r="56" spans="12:21" x14ac:dyDescent="0.3">
      <c r="L56" t="str">
        <v>Onions</v>
      </c>
      <c r="M56">
        <v>3</v>
      </c>
      <c r="P56" t="str">
        <v>Ginger</v>
      </c>
      <c r="Q56">
        <v>1</v>
      </c>
      <c r="T56" t="str">
        <v>40 kg</v>
      </c>
      <c r="U56">
        <v>18</v>
      </c>
    </row>
    <row r="57" spans="12:21" x14ac:dyDescent="0.3">
      <c r="L57" t="str">
        <v>Potatoes</v>
      </c>
      <c r="M57">
        <v>2</v>
      </c>
      <c r="P57" t="str">
        <v>Green Peas</v>
      </c>
      <c r="Q57">
        <v>13</v>
      </c>
      <c r="T57" t="str">
        <v>45 kg</v>
      </c>
      <c r="U57">
        <v>12</v>
      </c>
    </row>
    <row r="58" spans="12:21" x14ac:dyDescent="0.3">
      <c r="L58" t="str">
        <v>Rice</v>
      </c>
      <c r="M58">
        <v>5</v>
      </c>
      <c r="P58" t="str">
        <v>Milk</v>
      </c>
      <c r="Q58">
        <v>40</v>
      </c>
      <c r="T58" t="str">
        <v>5 kg</v>
      </c>
      <c r="U58">
        <v>5</v>
      </c>
    </row>
    <row r="59" spans="12:21" x14ac:dyDescent="0.3">
      <c r="L59" t="str">
        <v>Spices</v>
      </c>
      <c r="M59">
        <v>1</v>
      </c>
      <c r="P59" t="str">
        <v>Oil</v>
      </c>
      <c r="Q59">
        <v>5</v>
      </c>
      <c r="T59" t="str">
        <v>50 kg</v>
      </c>
      <c r="U59">
        <v>25</v>
      </c>
    </row>
    <row r="60" spans="12:21" x14ac:dyDescent="0.3">
      <c r="L60" t="str">
        <v>Tea Leaves</v>
      </c>
      <c r="M60">
        <v>1</v>
      </c>
      <c r="P60" t="str">
        <v>Onions</v>
      </c>
      <c r="Q60">
        <v>12</v>
      </c>
      <c r="T60" t="str">
        <v>50 packs</v>
      </c>
      <c r="U60">
        <v>20</v>
      </c>
    </row>
    <row r="61" spans="12:21" x14ac:dyDescent="0.3">
      <c r="L61" t="str">
        <v>Tomatoes</v>
      </c>
      <c r="M61">
        <v>4</v>
      </c>
      <c r="P61" t="str">
        <v>Potatoes</v>
      </c>
      <c r="Q61">
        <v>8</v>
      </c>
      <c r="T61" t="str">
        <v>6 kg</v>
      </c>
      <c r="U61">
        <v>4</v>
      </c>
    </row>
    <row r="62" spans="12:21" x14ac:dyDescent="0.3">
      <c r="L62" t="str">
        <v>Wheat Flour</v>
      </c>
      <c r="M62">
        <v>8</v>
      </c>
      <c r="P62" t="str">
        <v>Rice</v>
      </c>
      <c r="Q62">
        <v>15</v>
      </c>
      <c r="T62" t="str">
        <v>60 kg</v>
      </c>
      <c r="U62">
        <v>8</v>
      </c>
    </row>
    <row r="63" spans="12:21" x14ac:dyDescent="0.3">
      <c r="L63" t="str">
        <v>Grand Total</v>
      </c>
      <c r="M63">
        <v>42</v>
      </c>
      <c r="P63" t="str">
        <v>Salt</v>
      </c>
      <c r="Q63">
        <v>7</v>
      </c>
      <c r="T63" t="str">
        <v>60 litre</v>
      </c>
      <c r="U63">
        <v>40</v>
      </c>
    </row>
    <row r="64" spans="12:21" x14ac:dyDescent="0.3">
      <c r="P64" t="str">
        <v>Spices</v>
      </c>
      <c r="Q64">
        <v>4</v>
      </c>
      <c r="T64" t="str">
        <v>8 kg</v>
      </c>
      <c r="U64">
        <v>4</v>
      </c>
    </row>
    <row r="65" spans="16:21" x14ac:dyDescent="0.3">
      <c r="P65" t="str">
        <v>Sugar</v>
      </c>
      <c r="Q65">
        <v>12</v>
      </c>
      <c r="T65" t="str">
        <v>80 kg</v>
      </c>
      <c r="U65">
        <v>22</v>
      </c>
    </row>
    <row r="66" spans="16:21" x14ac:dyDescent="0.3">
      <c r="P66" t="str">
        <v>Tea Leaves</v>
      </c>
      <c r="Q66">
        <v>2</v>
      </c>
      <c r="T66" t="str">
        <v>Grand Total</v>
      </c>
      <c r="U66">
        <v>220</v>
      </c>
    </row>
    <row r="67" spans="16:21" x14ac:dyDescent="0.3">
      <c r="P67" t="str">
        <v>Tomatoes</v>
      </c>
      <c r="Q67">
        <v>6</v>
      </c>
    </row>
    <row r="68" spans="16:21" x14ac:dyDescent="0.3">
      <c r="P68" t="str">
        <v>Vegetables</v>
      </c>
      <c r="Q68">
        <v>18</v>
      </c>
    </row>
    <row r="69" spans="16:21" x14ac:dyDescent="0.3">
      <c r="P69" t="str">
        <v>Wheat Flour</v>
      </c>
      <c r="Q69">
        <v>22</v>
      </c>
    </row>
    <row r="70" spans="16:21" x14ac:dyDescent="0.3">
      <c r="P70" t="str">
        <v>Grand Total</v>
      </c>
      <c r="Q70">
        <v>230</v>
      </c>
    </row>
  </sheetData>
  <mergeCells count="1">
    <mergeCell ref="P20:Q20"/>
  </mergeCells>
  <pageMargins left="0.7" right="0.7" top="0.75" bottom="0.75" header="0.3" footer="0.3"/>
  <pageSetup orientation="portrait" r:id="rId6"/>
  <drawing r:id="rId7"/>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BA62-8D17-4411-881D-0DA3659C7750}">
  <dimension ref="B3:AC93"/>
  <sheetViews>
    <sheetView zoomScale="51" workbookViewId="0">
      <selection activeCell="S22" sqref="S22"/>
    </sheetView>
  </sheetViews>
  <sheetFormatPr defaultRowHeight="14.4" x14ac:dyDescent="0.3"/>
  <cols>
    <col min="2" max="2" width="18.88671875" bestFit="1" customWidth="1"/>
    <col min="3" max="3" width="42.77734375" bestFit="1" customWidth="1"/>
    <col min="4" max="4" width="22.5546875" bestFit="1" customWidth="1"/>
    <col min="5" max="5" width="18.44140625" customWidth="1"/>
    <col min="6" max="6" width="18.88671875" bestFit="1" customWidth="1"/>
    <col min="7" max="7" width="20.109375" bestFit="1" customWidth="1"/>
    <col min="8" max="8" width="20.33203125" hidden="1" customWidth="1"/>
    <col min="9" max="9" width="10.88671875" customWidth="1"/>
    <col min="10" max="10" width="12.44140625" bestFit="1" customWidth="1"/>
    <col min="11" max="11" width="26.5546875" customWidth="1"/>
    <col min="12" max="12" width="20.33203125" bestFit="1" customWidth="1"/>
    <col min="13" max="13" width="17.88671875" bestFit="1" customWidth="1"/>
    <col min="14" max="14" width="15.5546875" bestFit="1" customWidth="1"/>
    <col min="15" max="15" width="6.44140625" bestFit="1" customWidth="1"/>
    <col min="16" max="16" width="10.5546875" bestFit="1" customWidth="1"/>
    <col min="17" max="17" width="11.33203125" bestFit="1" customWidth="1"/>
    <col min="18" max="18" width="16" customWidth="1"/>
    <col min="19" max="19" width="22.5546875" bestFit="1" customWidth="1"/>
    <col min="20" max="20" width="23.6640625" bestFit="1" customWidth="1"/>
    <col min="21" max="21" width="12.44140625" bestFit="1" customWidth="1"/>
    <col min="22" max="22" width="24.109375" customWidth="1"/>
    <col min="23" max="23" width="10.5546875" bestFit="1" customWidth="1"/>
    <col min="24" max="24" width="12.44140625" bestFit="1" customWidth="1"/>
    <col min="25" max="25" width="20.33203125" bestFit="1" customWidth="1"/>
    <col min="26" max="26" width="19.21875" bestFit="1" customWidth="1"/>
    <col min="27" max="27" width="17.5546875" bestFit="1" customWidth="1"/>
    <col min="28" max="28" width="26.5546875" bestFit="1" customWidth="1"/>
    <col min="29" max="29" width="21.109375" bestFit="1" customWidth="1"/>
    <col min="30" max="30" width="20.109375" bestFit="1" customWidth="1"/>
    <col min="31" max="31" width="10.5546875" bestFit="1" customWidth="1"/>
  </cols>
  <sheetData>
    <row r="3" spans="2:29" x14ac:dyDescent="0.3">
      <c r="B3" t="str" cm="1">
        <f t="array" ref="B3:D4">B6:D7</f>
        <v>Sum of Teachers Required</v>
      </c>
      <c r="C3" t="str">
        <v>Sum of Teachers Assigned</v>
      </c>
      <c r="D3" t="str">
        <v>Sum of Teacher Needed</v>
      </c>
      <c r="F3" s="2" t="s">
        <v>170</v>
      </c>
      <c r="G3" t="s">
        <v>167</v>
      </c>
      <c r="H3" t="s">
        <v>171</v>
      </c>
      <c r="J3" s="2" t="s">
        <v>170</v>
      </c>
      <c r="K3" t="s">
        <v>167</v>
      </c>
      <c r="M3" s="2" t="s">
        <v>167</v>
      </c>
      <c r="N3" s="2" t="s">
        <v>173</v>
      </c>
    </row>
    <row r="4" spans="2:29" x14ac:dyDescent="0.3">
      <c r="B4">
        <v>35</v>
      </c>
      <c r="C4">
        <v>24</v>
      </c>
      <c r="D4">
        <v>11</v>
      </c>
      <c r="F4" s="3" t="s">
        <v>7</v>
      </c>
      <c r="G4">
        <v>2</v>
      </c>
      <c r="H4">
        <v>7</v>
      </c>
      <c r="J4" s="3" t="s">
        <v>42</v>
      </c>
      <c r="K4">
        <v>18</v>
      </c>
      <c r="M4" s="2" t="s">
        <v>170</v>
      </c>
      <c r="N4" t="s">
        <v>42</v>
      </c>
      <c r="O4" t="s">
        <v>35</v>
      </c>
      <c r="P4" t="s">
        <v>165</v>
      </c>
    </row>
    <row r="5" spans="2:29" x14ac:dyDescent="0.3">
      <c r="F5" s="3" t="s">
        <v>5</v>
      </c>
      <c r="G5">
        <v>3</v>
      </c>
      <c r="H5">
        <v>12</v>
      </c>
      <c r="J5" s="3" t="s">
        <v>35</v>
      </c>
      <c r="K5">
        <v>12</v>
      </c>
      <c r="M5" s="3" t="s">
        <v>48</v>
      </c>
      <c r="O5">
        <v>2</v>
      </c>
      <c r="P5">
        <v>2</v>
      </c>
      <c r="U5" s="2" t="s">
        <v>170</v>
      </c>
      <c r="V5" t="s">
        <v>176</v>
      </c>
    </row>
    <row r="6" spans="2:29" x14ac:dyDescent="0.3">
      <c r="B6" t="s">
        <v>169</v>
      </c>
      <c r="C6" t="s">
        <v>166</v>
      </c>
      <c r="D6" t="s">
        <v>168</v>
      </c>
      <c r="F6" s="3" t="s">
        <v>13</v>
      </c>
      <c r="G6">
        <v>1</v>
      </c>
      <c r="H6">
        <v>1</v>
      </c>
      <c r="J6" s="3" t="s">
        <v>165</v>
      </c>
      <c r="K6">
        <v>30</v>
      </c>
      <c r="M6" s="3" t="s">
        <v>112</v>
      </c>
      <c r="N6">
        <v>1</v>
      </c>
      <c r="P6">
        <v>1</v>
      </c>
      <c r="U6" s="3" t="s">
        <v>149</v>
      </c>
      <c r="V6">
        <v>15</v>
      </c>
    </row>
    <row r="7" spans="2:29" x14ac:dyDescent="0.3">
      <c r="B7">
        <v>35</v>
      </c>
      <c r="C7">
        <v>24</v>
      </c>
      <c r="D7">
        <v>11</v>
      </c>
      <c r="F7" s="3" t="s">
        <v>104</v>
      </c>
      <c r="G7">
        <v>1</v>
      </c>
      <c r="H7">
        <v>1</v>
      </c>
      <c r="M7" s="3" t="s">
        <v>119</v>
      </c>
      <c r="O7">
        <v>1</v>
      </c>
      <c r="P7">
        <v>1</v>
      </c>
      <c r="U7" s="3" t="s">
        <v>144</v>
      </c>
      <c r="V7">
        <v>5</v>
      </c>
    </row>
    <row r="8" spans="2:29" ht="12.6" customHeight="1" x14ac:dyDescent="0.3">
      <c r="F8" s="3" t="s">
        <v>10</v>
      </c>
      <c r="G8">
        <v>2</v>
      </c>
      <c r="H8">
        <v>5</v>
      </c>
      <c r="M8" s="3" t="s">
        <v>116</v>
      </c>
      <c r="N8">
        <v>1</v>
      </c>
      <c r="P8">
        <v>1</v>
      </c>
      <c r="U8" s="3" t="s">
        <v>163</v>
      </c>
      <c r="V8">
        <v>3</v>
      </c>
    </row>
    <row r="9" spans="2:29" x14ac:dyDescent="0.3">
      <c r="F9" s="3" t="s">
        <v>14</v>
      </c>
      <c r="G9">
        <v>1</v>
      </c>
      <c r="H9">
        <v>1</v>
      </c>
      <c r="J9" s="2" t="s">
        <v>170</v>
      </c>
      <c r="K9" t="s">
        <v>172</v>
      </c>
      <c r="M9" s="3" t="s">
        <v>34</v>
      </c>
      <c r="O9">
        <v>1</v>
      </c>
      <c r="P9">
        <v>1</v>
      </c>
      <c r="U9" s="3" t="s">
        <v>130</v>
      </c>
      <c r="V9">
        <v>15</v>
      </c>
    </row>
    <row r="10" spans="2:29" x14ac:dyDescent="0.3">
      <c r="F10" s="3" t="s">
        <v>8</v>
      </c>
      <c r="G10">
        <v>3</v>
      </c>
      <c r="H10">
        <v>5</v>
      </c>
      <c r="J10" s="3" t="s">
        <v>7</v>
      </c>
      <c r="K10">
        <v>2</v>
      </c>
      <c r="M10" s="3" t="s">
        <v>70</v>
      </c>
      <c r="O10">
        <v>1</v>
      </c>
      <c r="P10">
        <v>1</v>
      </c>
      <c r="U10" s="3" t="s">
        <v>151</v>
      </c>
      <c r="V10">
        <v>20</v>
      </c>
    </row>
    <row r="11" spans="2:29" x14ac:dyDescent="0.3">
      <c r="B11" s="2" t="s">
        <v>170</v>
      </c>
      <c r="C11" t="s">
        <v>166</v>
      </c>
      <c r="D11" t="s">
        <v>168</v>
      </c>
      <c r="F11" s="3" t="s">
        <v>12</v>
      </c>
      <c r="G11">
        <v>2</v>
      </c>
      <c r="H11">
        <v>6</v>
      </c>
      <c r="J11" s="3" t="s">
        <v>5</v>
      </c>
      <c r="K11">
        <v>6</v>
      </c>
      <c r="M11" s="3" t="s">
        <v>90</v>
      </c>
      <c r="N11">
        <v>1</v>
      </c>
      <c r="P11">
        <v>1</v>
      </c>
      <c r="U11" s="3" t="s">
        <v>160</v>
      </c>
      <c r="V11">
        <v>2</v>
      </c>
      <c r="X11" s="2" t="s">
        <v>170</v>
      </c>
      <c r="Y11" t="s">
        <v>171</v>
      </c>
      <c r="Z11" t="s">
        <v>172</v>
      </c>
    </row>
    <row r="12" spans="2:29" x14ac:dyDescent="0.3">
      <c r="B12" s="3" t="s">
        <v>22</v>
      </c>
      <c r="C12">
        <v>1</v>
      </c>
      <c r="D12">
        <v>1</v>
      </c>
      <c r="F12" s="3" t="s">
        <v>11</v>
      </c>
      <c r="G12">
        <v>2</v>
      </c>
      <c r="H12">
        <v>2</v>
      </c>
      <c r="J12" s="3" t="s">
        <v>13</v>
      </c>
      <c r="K12">
        <v>0</v>
      </c>
      <c r="M12" s="3" t="s">
        <v>61</v>
      </c>
      <c r="N12">
        <v>1</v>
      </c>
      <c r="P12">
        <v>1</v>
      </c>
      <c r="U12" s="3" t="s">
        <v>161</v>
      </c>
      <c r="V12">
        <v>2</v>
      </c>
      <c r="X12" s="3" t="s">
        <v>7</v>
      </c>
      <c r="Y12">
        <v>7</v>
      </c>
      <c r="Z12">
        <v>2</v>
      </c>
      <c r="AA12" t="str" cm="1">
        <f t="array" ref="AA12:AC26">X11:Z25</f>
        <v>Row Labels</v>
      </c>
      <c r="AB12" t="str">
        <v>Sum of Books Available</v>
      </c>
      <c r="AC12" t="str">
        <v>Sum of Books Needed</v>
      </c>
    </row>
    <row r="13" spans="2:29" x14ac:dyDescent="0.3">
      <c r="B13" s="3" t="s">
        <v>15</v>
      </c>
      <c r="C13">
        <v>1</v>
      </c>
      <c r="D13">
        <v>0</v>
      </c>
      <c r="F13" s="3" t="s">
        <v>9</v>
      </c>
      <c r="G13">
        <v>3</v>
      </c>
      <c r="H13">
        <v>3</v>
      </c>
      <c r="J13" s="3" t="s">
        <v>104</v>
      </c>
      <c r="K13">
        <v>1</v>
      </c>
      <c r="M13" s="3" t="s">
        <v>54</v>
      </c>
      <c r="N13">
        <v>1</v>
      </c>
      <c r="P13">
        <v>1</v>
      </c>
      <c r="U13" s="3" t="s">
        <v>159</v>
      </c>
      <c r="V13">
        <v>10</v>
      </c>
      <c r="X13" s="3" t="s">
        <v>5</v>
      </c>
      <c r="Y13">
        <v>12</v>
      </c>
      <c r="Z13">
        <v>6</v>
      </c>
      <c r="AA13" t="str">
        <v>Biology</v>
      </c>
      <c r="AB13">
        <v>7</v>
      </c>
      <c r="AC13">
        <v>2</v>
      </c>
    </row>
    <row r="14" spans="2:29" x14ac:dyDescent="0.3">
      <c r="B14" s="3" t="s">
        <v>7</v>
      </c>
      <c r="C14">
        <v>1</v>
      </c>
      <c r="D14">
        <v>1</v>
      </c>
      <c r="F14" s="3" t="s">
        <v>6</v>
      </c>
      <c r="G14">
        <v>3</v>
      </c>
      <c r="H14">
        <v>11</v>
      </c>
      <c r="J14" s="3" t="s">
        <v>10</v>
      </c>
      <c r="K14">
        <v>0</v>
      </c>
      <c r="M14" s="3" t="s">
        <v>79</v>
      </c>
      <c r="O14">
        <v>1</v>
      </c>
      <c r="P14">
        <v>1</v>
      </c>
      <c r="U14" s="3" t="s">
        <v>142</v>
      </c>
      <c r="V14">
        <v>30</v>
      </c>
      <c r="X14" s="3" t="s">
        <v>13</v>
      </c>
      <c r="Y14">
        <v>1</v>
      </c>
      <c r="Z14">
        <v>0</v>
      </c>
      <c r="AA14" t="str">
        <v>Chemistry</v>
      </c>
      <c r="AB14">
        <v>12</v>
      </c>
      <c r="AC14">
        <v>6</v>
      </c>
    </row>
    <row r="15" spans="2:29" x14ac:dyDescent="0.3">
      <c r="B15" s="3" t="s">
        <v>23</v>
      </c>
      <c r="C15">
        <v>2</v>
      </c>
      <c r="D15">
        <v>0</v>
      </c>
      <c r="F15" s="3" t="s">
        <v>4</v>
      </c>
      <c r="G15">
        <v>3</v>
      </c>
      <c r="H15">
        <v>12</v>
      </c>
      <c r="J15" s="3" t="s">
        <v>14</v>
      </c>
      <c r="K15">
        <v>0</v>
      </c>
      <c r="M15" s="3" t="s">
        <v>82</v>
      </c>
      <c r="N15">
        <v>1</v>
      </c>
      <c r="P15">
        <v>1</v>
      </c>
      <c r="U15" s="3" t="s">
        <v>132</v>
      </c>
      <c r="V15">
        <v>10</v>
      </c>
      <c r="X15" s="3" t="s">
        <v>104</v>
      </c>
      <c r="Y15">
        <v>1</v>
      </c>
      <c r="Z15">
        <v>1</v>
      </c>
      <c r="AA15" t="str">
        <v>Civics</v>
      </c>
      <c r="AB15">
        <v>1</v>
      </c>
      <c r="AC15">
        <v>0</v>
      </c>
    </row>
    <row r="16" spans="2:29" x14ac:dyDescent="0.3">
      <c r="B16" s="3" t="s">
        <v>5</v>
      </c>
      <c r="C16">
        <v>2</v>
      </c>
      <c r="D16">
        <v>0</v>
      </c>
      <c r="F16" s="3" t="s">
        <v>55</v>
      </c>
      <c r="G16">
        <v>3</v>
      </c>
      <c r="H16">
        <v>6</v>
      </c>
      <c r="J16" s="3" t="s">
        <v>8</v>
      </c>
      <c r="K16">
        <v>5</v>
      </c>
      <c r="M16" s="3" t="s">
        <v>38</v>
      </c>
      <c r="O16">
        <v>3</v>
      </c>
      <c r="P16">
        <v>3</v>
      </c>
      <c r="R16" s="9" t="s">
        <v>178</v>
      </c>
      <c r="S16" s="9"/>
      <c r="U16" s="3" t="s">
        <v>153</v>
      </c>
      <c r="V16">
        <v>15</v>
      </c>
      <c r="X16" s="3" t="s">
        <v>10</v>
      </c>
      <c r="Y16">
        <v>5</v>
      </c>
      <c r="Z16">
        <v>0</v>
      </c>
      <c r="AA16" t="str">
        <v>Commerce</v>
      </c>
      <c r="AB16">
        <v>1</v>
      </c>
      <c r="AC16">
        <v>1</v>
      </c>
    </row>
    <row r="17" spans="2:29" x14ac:dyDescent="0.3">
      <c r="B17" s="3" t="s">
        <v>13</v>
      </c>
      <c r="C17">
        <v>0</v>
      </c>
      <c r="D17">
        <v>1</v>
      </c>
      <c r="F17" s="3" t="s">
        <v>113</v>
      </c>
      <c r="G17">
        <v>1</v>
      </c>
      <c r="H17">
        <v>2</v>
      </c>
      <c r="J17" s="3" t="s">
        <v>12</v>
      </c>
      <c r="K17">
        <v>2</v>
      </c>
      <c r="M17" s="3" t="s">
        <v>76</v>
      </c>
      <c r="N17">
        <v>1</v>
      </c>
      <c r="P17">
        <v>1</v>
      </c>
      <c r="U17" s="3" t="s">
        <v>155</v>
      </c>
      <c r="V17">
        <v>10</v>
      </c>
      <c r="X17" s="3" t="s">
        <v>14</v>
      </c>
      <c r="Y17">
        <v>1</v>
      </c>
      <c r="Z17">
        <v>0</v>
      </c>
      <c r="AA17" t="str">
        <v>Computer</v>
      </c>
      <c r="AB17">
        <v>5</v>
      </c>
      <c r="AC17">
        <v>0</v>
      </c>
    </row>
    <row r="18" spans="2:29" x14ac:dyDescent="0.3">
      <c r="B18" s="3" t="s">
        <v>10</v>
      </c>
      <c r="C18">
        <v>1</v>
      </c>
      <c r="D18">
        <v>1</v>
      </c>
      <c r="F18" s="3" t="s">
        <v>165</v>
      </c>
      <c r="G18">
        <v>30</v>
      </c>
      <c r="H18">
        <v>74</v>
      </c>
      <c r="J18" s="3" t="s">
        <v>11</v>
      </c>
      <c r="K18">
        <v>1</v>
      </c>
      <c r="M18" s="3" t="s">
        <v>64</v>
      </c>
      <c r="N18">
        <v>1</v>
      </c>
      <c r="P18">
        <v>1</v>
      </c>
      <c r="R18" s="2" t="s">
        <v>170</v>
      </c>
      <c r="S18" t="s">
        <v>175</v>
      </c>
      <c r="U18" s="3" t="s">
        <v>128</v>
      </c>
      <c r="V18">
        <v>20</v>
      </c>
      <c r="X18" s="3" t="s">
        <v>8</v>
      </c>
      <c r="Y18">
        <v>5</v>
      </c>
      <c r="Z18">
        <v>5</v>
      </c>
      <c r="AA18" t="str">
        <v>Economics</v>
      </c>
      <c r="AB18">
        <v>1</v>
      </c>
      <c r="AC18">
        <v>0</v>
      </c>
    </row>
    <row r="19" spans="2:29" x14ac:dyDescent="0.3">
      <c r="B19" s="3" t="s">
        <v>24</v>
      </c>
      <c r="C19">
        <v>2</v>
      </c>
      <c r="D19">
        <v>2</v>
      </c>
      <c r="J19" s="3" t="s">
        <v>9</v>
      </c>
      <c r="K19">
        <v>1</v>
      </c>
      <c r="M19" s="3" t="s">
        <v>100</v>
      </c>
      <c r="N19">
        <v>1</v>
      </c>
      <c r="P19">
        <v>1</v>
      </c>
      <c r="R19" s="3" t="s">
        <v>149</v>
      </c>
      <c r="S19">
        <v>20</v>
      </c>
      <c r="U19" s="3" t="s">
        <v>134</v>
      </c>
      <c r="V19">
        <v>5</v>
      </c>
      <c r="X19" s="3" t="s">
        <v>12</v>
      </c>
      <c r="Y19">
        <v>6</v>
      </c>
      <c r="Z19">
        <v>2</v>
      </c>
      <c r="AA19" t="str">
        <v>English</v>
      </c>
      <c r="AB19">
        <v>5</v>
      </c>
      <c r="AC19">
        <v>5</v>
      </c>
    </row>
    <row r="20" spans="2:29" x14ac:dyDescent="0.3">
      <c r="B20" s="3" t="s">
        <v>19</v>
      </c>
      <c r="C20">
        <v>0</v>
      </c>
      <c r="D20">
        <v>1</v>
      </c>
      <c r="J20" s="3" t="s">
        <v>6</v>
      </c>
      <c r="K20">
        <v>2</v>
      </c>
      <c r="M20" s="3" t="s">
        <v>51</v>
      </c>
      <c r="N20">
        <v>1</v>
      </c>
      <c r="P20">
        <v>1</v>
      </c>
      <c r="R20" s="3" t="s">
        <v>144</v>
      </c>
      <c r="S20">
        <v>3</v>
      </c>
      <c r="U20" s="3" t="s">
        <v>147</v>
      </c>
      <c r="V20">
        <v>5</v>
      </c>
      <c r="X20" s="3" t="s">
        <v>11</v>
      </c>
      <c r="Y20">
        <v>2</v>
      </c>
      <c r="Z20">
        <v>1</v>
      </c>
      <c r="AA20" t="str">
        <v>Geography</v>
      </c>
      <c r="AB20">
        <v>6</v>
      </c>
      <c r="AC20">
        <v>2</v>
      </c>
    </row>
    <row r="21" spans="2:29" x14ac:dyDescent="0.3">
      <c r="B21" s="3" t="s">
        <v>14</v>
      </c>
      <c r="C21">
        <v>1</v>
      </c>
      <c r="D21">
        <v>0</v>
      </c>
      <c r="F21" s="2" t="s">
        <v>170</v>
      </c>
      <c r="G21" t="s">
        <v>171</v>
      </c>
      <c r="H21" t="s">
        <v>172</v>
      </c>
      <c r="J21" s="3" t="s">
        <v>4</v>
      </c>
      <c r="K21">
        <v>8</v>
      </c>
      <c r="M21" s="3" t="s">
        <v>67</v>
      </c>
      <c r="N21">
        <v>1</v>
      </c>
      <c r="P21">
        <v>1</v>
      </c>
      <c r="R21" s="3" t="s">
        <v>163</v>
      </c>
      <c r="S21">
        <v>4</v>
      </c>
      <c r="U21" s="3" t="s">
        <v>140</v>
      </c>
      <c r="V21">
        <v>10</v>
      </c>
      <c r="X21" s="3" t="s">
        <v>9</v>
      </c>
      <c r="Y21">
        <v>3</v>
      </c>
      <c r="Z21">
        <v>1</v>
      </c>
      <c r="AA21" t="str">
        <v>Hindi</v>
      </c>
      <c r="AB21">
        <v>2</v>
      </c>
      <c r="AC21">
        <v>1</v>
      </c>
    </row>
    <row r="22" spans="2:29" x14ac:dyDescent="0.3">
      <c r="B22" s="3" t="s">
        <v>8</v>
      </c>
      <c r="C22">
        <v>2</v>
      </c>
      <c r="D22">
        <v>0</v>
      </c>
      <c r="F22" s="3" t="s">
        <v>7</v>
      </c>
      <c r="G22">
        <v>7</v>
      </c>
      <c r="H22">
        <v>2</v>
      </c>
      <c r="J22" s="3" t="s">
        <v>55</v>
      </c>
      <c r="K22">
        <v>1</v>
      </c>
      <c r="M22" s="3" t="s">
        <v>41</v>
      </c>
      <c r="N22">
        <v>1</v>
      </c>
      <c r="P22">
        <v>1</v>
      </c>
      <c r="R22" s="3" t="s">
        <v>130</v>
      </c>
      <c r="S22">
        <v>25</v>
      </c>
      <c r="U22" s="3" t="s">
        <v>145</v>
      </c>
      <c r="V22">
        <v>3</v>
      </c>
      <c r="X22" s="3" t="s">
        <v>6</v>
      </c>
      <c r="Y22">
        <v>11</v>
      </c>
      <c r="Z22">
        <v>2</v>
      </c>
      <c r="AA22" t="str">
        <v>History</v>
      </c>
      <c r="AB22">
        <v>3</v>
      </c>
      <c r="AC22">
        <v>1</v>
      </c>
    </row>
    <row r="23" spans="2:29" x14ac:dyDescent="0.3">
      <c r="B23" s="3" t="s">
        <v>17</v>
      </c>
      <c r="C23">
        <v>1</v>
      </c>
      <c r="D23">
        <v>0</v>
      </c>
      <c r="F23" s="3" t="s">
        <v>5</v>
      </c>
      <c r="G23">
        <v>12</v>
      </c>
      <c r="H23">
        <v>6</v>
      </c>
      <c r="J23" s="3" t="s">
        <v>113</v>
      </c>
      <c r="K23">
        <v>1</v>
      </c>
      <c r="M23" s="3" t="s">
        <v>58</v>
      </c>
      <c r="O23">
        <v>1</v>
      </c>
      <c r="P23">
        <v>1</v>
      </c>
      <c r="R23" s="3" t="s">
        <v>151</v>
      </c>
      <c r="S23">
        <v>10</v>
      </c>
      <c r="U23" s="3" t="s">
        <v>157</v>
      </c>
      <c r="V23">
        <v>10</v>
      </c>
      <c r="X23" s="3" t="s">
        <v>4</v>
      </c>
      <c r="Y23">
        <v>12</v>
      </c>
      <c r="Z23">
        <v>8</v>
      </c>
      <c r="AA23" t="str">
        <v>Math</v>
      </c>
      <c r="AB23">
        <v>11</v>
      </c>
      <c r="AC23">
        <v>2</v>
      </c>
    </row>
    <row r="24" spans="2:29" x14ac:dyDescent="0.3">
      <c r="B24" s="3" t="s">
        <v>12</v>
      </c>
      <c r="C24">
        <v>1</v>
      </c>
      <c r="D24">
        <v>0</v>
      </c>
      <c r="F24" s="3" t="s">
        <v>13</v>
      </c>
      <c r="G24">
        <v>1</v>
      </c>
      <c r="H24">
        <v>0</v>
      </c>
      <c r="J24" s="3" t="s">
        <v>165</v>
      </c>
      <c r="K24">
        <v>30</v>
      </c>
      <c r="M24" s="3" t="s">
        <v>73</v>
      </c>
      <c r="N24">
        <v>1</v>
      </c>
      <c r="P24">
        <v>1</v>
      </c>
      <c r="R24" s="3" t="s">
        <v>160</v>
      </c>
      <c r="S24">
        <v>3</v>
      </c>
      <c r="U24" s="3" t="s">
        <v>136</v>
      </c>
      <c r="V24">
        <v>10</v>
      </c>
      <c r="X24" s="3" t="s">
        <v>55</v>
      </c>
      <c r="Y24">
        <v>6</v>
      </c>
      <c r="Z24">
        <v>1</v>
      </c>
      <c r="AA24" t="str">
        <v>Physics</v>
      </c>
      <c r="AB24">
        <v>12</v>
      </c>
      <c r="AC24">
        <v>8</v>
      </c>
    </row>
    <row r="25" spans="2:29" x14ac:dyDescent="0.3">
      <c r="B25" s="3" t="s">
        <v>11</v>
      </c>
      <c r="C25">
        <v>1</v>
      </c>
      <c r="D25">
        <v>0</v>
      </c>
      <c r="F25" s="3" t="s">
        <v>104</v>
      </c>
      <c r="G25">
        <v>1</v>
      </c>
      <c r="H25">
        <v>1</v>
      </c>
      <c r="M25" s="3" t="s">
        <v>107</v>
      </c>
      <c r="N25">
        <v>1</v>
      </c>
      <c r="P25">
        <v>1</v>
      </c>
      <c r="R25" s="3" t="s">
        <v>161</v>
      </c>
      <c r="S25">
        <v>1</v>
      </c>
      <c r="U25" s="3" t="s">
        <v>138</v>
      </c>
      <c r="V25">
        <v>30</v>
      </c>
      <c r="X25" s="3" t="s">
        <v>113</v>
      </c>
      <c r="Y25">
        <v>2</v>
      </c>
      <c r="Z25">
        <v>1</v>
      </c>
      <c r="AA25" t="str">
        <v>Science</v>
      </c>
      <c r="AB25">
        <v>6</v>
      </c>
      <c r="AC25">
        <v>1</v>
      </c>
    </row>
    <row r="26" spans="2:29" x14ac:dyDescent="0.3">
      <c r="B26" s="3" t="s">
        <v>9</v>
      </c>
      <c r="C26">
        <v>1</v>
      </c>
      <c r="D26">
        <v>0</v>
      </c>
      <c r="F26" s="3" t="s">
        <v>10</v>
      </c>
      <c r="G26">
        <v>5</v>
      </c>
      <c r="H26">
        <v>0</v>
      </c>
      <c r="M26" s="3" t="s">
        <v>87</v>
      </c>
      <c r="N26">
        <v>1</v>
      </c>
      <c r="P26">
        <v>1</v>
      </c>
      <c r="R26" s="3" t="s">
        <v>159</v>
      </c>
      <c r="S26">
        <v>13</v>
      </c>
      <c r="U26" s="3" t="s">
        <v>165</v>
      </c>
      <c r="V26">
        <v>230</v>
      </c>
      <c r="X26" s="3" t="s">
        <v>165</v>
      </c>
      <c r="Y26">
        <v>74</v>
      </c>
      <c r="Z26">
        <v>30</v>
      </c>
      <c r="AA26" t="str">
        <v>Sociology</v>
      </c>
      <c r="AB26">
        <v>2</v>
      </c>
      <c r="AC26">
        <v>1</v>
      </c>
    </row>
    <row r="27" spans="2:29" x14ac:dyDescent="0.3">
      <c r="B27" s="3" t="s">
        <v>6</v>
      </c>
      <c r="C27">
        <v>2</v>
      </c>
      <c r="D27">
        <v>1</v>
      </c>
      <c r="F27" s="3" t="s">
        <v>14</v>
      </c>
      <c r="G27">
        <v>1</v>
      </c>
      <c r="H27">
        <v>0</v>
      </c>
      <c r="J27" t="str" cm="1">
        <f t="array" ref="J27:K29">J3:K5</f>
        <v>Row Labels</v>
      </c>
      <c r="K27" t="str">
        <v>Count of Books</v>
      </c>
      <c r="M27" s="3" t="s">
        <v>103</v>
      </c>
      <c r="O27">
        <v>1</v>
      </c>
      <c r="P27">
        <v>1</v>
      </c>
      <c r="R27" s="3" t="s">
        <v>142</v>
      </c>
      <c r="S27">
        <v>40</v>
      </c>
    </row>
    <row r="28" spans="2:29" x14ac:dyDescent="0.3">
      <c r="B28" s="3" t="s">
        <v>18</v>
      </c>
      <c r="C28">
        <v>0</v>
      </c>
      <c r="D28">
        <v>1</v>
      </c>
      <c r="F28" s="3" t="s">
        <v>8</v>
      </c>
      <c r="G28">
        <v>5</v>
      </c>
      <c r="H28">
        <v>5</v>
      </c>
      <c r="J28" t="str">
        <v>Available</v>
      </c>
      <c r="K28">
        <v>18</v>
      </c>
      <c r="M28" s="3" t="s">
        <v>122</v>
      </c>
      <c r="N28">
        <v>1</v>
      </c>
      <c r="P28">
        <v>1</v>
      </c>
      <c r="R28" s="3" t="s">
        <v>132</v>
      </c>
      <c r="S28">
        <v>5</v>
      </c>
      <c r="U28" s="9" t="s">
        <v>177</v>
      </c>
      <c r="V28" s="9"/>
    </row>
    <row r="29" spans="2:29" x14ac:dyDescent="0.3">
      <c r="B29" s="3" t="s">
        <v>16</v>
      </c>
      <c r="C29">
        <v>2</v>
      </c>
      <c r="D29">
        <v>0</v>
      </c>
      <c r="F29" s="3" t="s">
        <v>12</v>
      </c>
      <c r="G29">
        <v>6</v>
      </c>
      <c r="H29">
        <v>2</v>
      </c>
      <c r="J29" t="str">
        <v>Issued</v>
      </c>
      <c r="K29">
        <v>12</v>
      </c>
      <c r="M29" s="3" t="s">
        <v>97</v>
      </c>
      <c r="N29">
        <v>1</v>
      </c>
      <c r="P29">
        <v>1</v>
      </c>
      <c r="R29" s="3" t="s">
        <v>153</v>
      </c>
      <c r="S29">
        <v>12</v>
      </c>
      <c r="U29" s="2" t="s">
        <v>170</v>
      </c>
      <c r="V29" t="s">
        <v>174</v>
      </c>
    </row>
    <row r="30" spans="2:29" x14ac:dyDescent="0.3">
      <c r="B30" s="3" t="s">
        <v>4</v>
      </c>
      <c r="C30">
        <v>1</v>
      </c>
      <c r="D30">
        <v>2</v>
      </c>
      <c r="F30" s="3" t="s">
        <v>11</v>
      </c>
      <c r="G30">
        <v>2</v>
      </c>
      <c r="H30">
        <v>1</v>
      </c>
      <c r="J30" s="3"/>
      <c r="M30" s="3" t="s">
        <v>45</v>
      </c>
      <c r="N30">
        <v>1</v>
      </c>
      <c r="O30">
        <v>1</v>
      </c>
      <c r="P30">
        <v>2</v>
      </c>
      <c r="R30" s="3" t="s">
        <v>155</v>
      </c>
      <c r="S30">
        <v>8</v>
      </c>
      <c r="U30" s="4">
        <v>45860</v>
      </c>
      <c r="V30">
        <v>20</v>
      </c>
    </row>
    <row r="31" spans="2:29" x14ac:dyDescent="0.3">
      <c r="B31" s="3" t="s">
        <v>21</v>
      </c>
      <c r="C31">
        <v>1</v>
      </c>
      <c r="D31">
        <v>0</v>
      </c>
      <c r="F31" s="3" t="s">
        <v>9</v>
      </c>
      <c r="G31">
        <v>3</v>
      </c>
      <c r="H31">
        <v>1</v>
      </c>
      <c r="J31" s="3"/>
      <c r="M31" s="3" t="s">
        <v>165</v>
      </c>
      <c r="N31">
        <v>18</v>
      </c>
      <c r="O31">
        <v>12</v>
      </c>
      <c r="P31">
        <v>30</v>
      </c>
      <c r="R31" s="3" t="s">
        <v>128</v>
      </c>
      <c r="S31">
        <v>15</v>
      </c>
      <c r="U31" s="3" t="s">
        <v>165</v>
      </c>
      <c r="V31">
        <v>20</v>
      </c>
    </row>
    <row r="32" spans="2:29" x14ac:dyDescent="0.3">
      <c r="B32" s="3" t="s">
        <v>20</v>
      </c>
      <c r="C32">
        <v>1</v>
      </c>
      <c r="D32">
        <v>0</v>
      </c>
      <c r="F32" s="3" t="s">
        <v>6</v>
      </c>
      <c r="G32">
        <v>11</v>
      </c>
      <c r="H32">
        <v>2</v>
      </c>
      <c r="J32" s="3"/>
      <c r="R32" s="3" t="s">
        <v>134</v>
      </c>
      <c r="S32">
        <v>7</v>
      </c>
    </row>
    <row r="33" spans="2:19" x14ac:dyDescent="0.3">
      <c r="B33" s="3" t="s">
        <v>165</v>
      </c>
      <c r="C33">
        <v>24</v>
      </c>
      <c r="D33">
        <v>11</v>
      </c>
      <c r="F33" s="3" t="s">
        <v>4</v>
      </c>
      <c r="G33">
        <v>12</v>
      </c>
      <c r="H33">
        <v>8</v>
      </c>
      <c r="J33" s="3"/>
      <c r="R33" s="3" t="s">
        <v>147</v>
      </c>
      <c r="S33">
        <v>4</v>
      </c>
    </row>
    <row r="34" spans="2:19" x14ac:dyDescent="0.3">
      <c r="F34" s="3" t="s">
        <v>55</v>
      </c>
      <c r="G34">
        <v>6</v>
      </c>
      <c r="H34">
        <v>1</v>
      </c>
      <c r="J34" s="3"/>
      <c r="R34" s="3" t="s">
        <v>140</v>
      </c>
      <c r="S34">
        <v>12</v>
      </c>
    </row>
    <row r="35" spans="2:19" x14ac:dyDescent="0.3">
      <c r="F35" s="3" t="s">
        <v>113</v>
      </c>
      <c r="G35">
        <v>2</v>
      </c>
      <c r="H35">
        <v>1</v>
      </c>
      <c r="J35" s="3"/>
      <c r="R35" s="3" t="s">
        <v>145</v>
      </c>
      <c r="S35">
        <v>2</v>
      </c>
    </row>
    <row r="36" spans="2:19" x14ac:dyDescent="0.3">
      <c r="F36" s="3" t="s">
        <v>165</v>
      </c>
      <c r="G36">
        <v>74</v>
      </c>
      <c r="H36">
        <v>30</v>
      </c>
      <c r="J36" s="3"/>
      <c r="K36" t="str" cm="1">
        <f t="array" ref="K36:M37">B6:D7</f>
        <v>Sum of Teachers Required</v>
      </c>
      <c r="L36" t="str">
        <v>Sum of Teachers Assigned</v>
      </c>
      <c r="M36" t="str">
        <v>Sum of Teacher Needed</v>
      </c>
      <c r="R36" s="3" t="s">
        <v>157</v>
      </c>
      <c r="S36">
        <v>6</v>
      </c>
    </row>
    <row r="37" spans="2:19" x14ac:dyDescent="0.3">
      <c r="J37" s="3"/>
      <c r="K37">
        <v>35</v>
      </c>
      <c r="L37">
        <v>24</v>
      </c>
      <c r="M37">
        <v>11</v>
      </c>
      <c r="R37" s="3" t="s">
        <v>136</v>
      </c>
      <c r="S37">
        <v>18</v>
      </c>
    </row>
    <row r="38" spans="2:19" x14ac:dyDescent="0.3">
      <c r="B38" s="2" t="s">
        <v>170</v>
      </c>
      <c r="C38" t="s">
        <v>195</v>
      </c>
      <c r="J38" s="3"/>
      <c r="R38" s="3" t="s">
        <v>138</v>
      </c>
      <c r="S38">
        <v>22</v>
      </c>
    </row>
    <row r="39" spans="2:19" x14ac:dyDescent="0.3">
      <c r="B39" s="3" t="s">
        <v>193</v>
      </c>
      <c r="C39">
        <v>9</v>
      </c>
      <c r="F39" t="str" cm="1">
        <f t="array" ref="F39:H54">F3:H18</f>
        <v>Row Labels</v>
      </c>
      <c r="G39" t="str">
        <v>Count of Books</v>
      </c>
      <c r="H39" t="str">
        <v>Sum of Books Available</v>
      </c>
      <c r="J39" s="3"/>
      <c r="R39" s="3" t="s">
        <v>165</v>
      </c>
      <c r="S39">
        <v>230</v>
      </c>
    </row>
    <row r="40" spans="2:19" x14ac:dyDescent="0.3">
      <c r="B40" s="3" t="s">
        <v>194</v>
      </c>
      <c r="C40">
        <v>12</v>
      </c>
      <c r="F40" t="str">
        <v>Biology</v>
      </c>
      <c r="G40">
        <v>2</v>
      </c>
      <c r="H40">
        <v>7</v>
      </c>
      <c r="J40" s="3"/>
    </row>
    <row r="41" spans="2:19" x14ac:dyDescent="0.3">
      <c r="B41" s="3" t="s">
        <v>165</v>
      </c>
      <c r="C41">
        <v>21</v>
      </c>
      <c r="F41" t="str">
        <v>Chemistry</v>
      </c>
      <c r="G41">
        <v>3</v>
      </c>
      <c r="H41">
        <v>12</v>
      </c>
      <c r="J41" s="3"/>
    </row>
    <row r="42" spans="2:19" x14ac:dyDescent="0.3">
      <c r="F42" t="str">
        <v>Civics</v>
      </c>
      <c r="G42">
        <v>1</v>
      </c>
      <c r="H42">
        <v>1</v>
      </c>
      <c r="J42" s="3"/>
    </row>
    <row r="43" spans="2:19" x14ac:dyDescent="0.3">
      <c r="F43" t="str">
        <v>Commerce</v>
      </c>
      <c r="G43">
        <v>1</v>
      </c>
      <c r="H43">
        <v>1</v>
      </c>
      <c r="J43" s="3"/>
    </row>
    <row r="44" spans="2:19" x14ac:dyDescent="0.3">
      <c r="F44" t="str">
        <v>Computer</v>
      </c>
      <c r="G44">
        <v>2</v>
      </c>
      <c r="H44">
        <v>5</v>
      </c>
    </row>
    <row r="45" spans="2:19" x14ac:dyDescent="0.3">
      <c r="F45" t="str">
        <v>Economics</v>
      </c>
      <c r="G45">
        <v>1</v>
      </c>
      <c r="H45">
        <v>1</v>
      </c>
    </row>
    <row r="46" spans="2:19" x14ac:dyDescent="0.3">
      <c r="B46" s="2" t="s">
        <v>170</v>
      </c>
      <c r="C46" t="s">
        <v>168</v>
      </c>
      <c r="F46" t="str">
        <v>English</v>
      </c>
      <c r="G46">
        <v>3</v>
      </c>
      <c r="H46">
        <v>5</v>
      </c>
    </row>
    <row r="47" spans="2:19" x14ac:dyDescent="0.3">
      <c r="B47" s="3" t="s">
        <v>22</v>
      </c>
      <c r="C47">
        <v>1</v>
      </c>
      <c r="F47" t="str">
        <v>Geography</v>
      </c>
      <c r="G47">
        <v>2</v>
      </c>
      <c r="H47">
        <v>6</v>
      </c>
      <c r="L47" t="s">
        <v>184</v>
      </c>
      <c r="M47" t="s">
        <v>185</v>
      </c>
      <c r="S47" t="s">
        <v>197</v>
      </c>
    </row>
    <row r="48" spans="2:19" x14ac:dyDescent="0.3">
      <c r="B48" s="3" t="s">
        <v>15</v>
      </c>
      <c r="C48">
        <v>0</v>
      </c>
      <c r="F48" t="str">
        <v>Hindi</v>
      </c>
      <c r="G48">
        <v>2</v>
      </c>
      <c r="H48">
        <v>2</v>
      </c>
      <c r="J48" s="3" t="s">
        <v>42</v>
      </c>
      <c r="K48">
        <v>18</v>
      </c>
      <c r="L48" s="6">
        <v>0.6</v>
      </c>
      <c r="M48" s="7">
        <v>0.4</v>
      </c>
    </row>
    <row r="49" spans="2:13" x14ac:dyDescent="0.3">
      <c r="B49" s="3" t="s">
        <v>7</v>
      </c>
      <c r="C49">
        <v>1</v>
      </c>
      <c r="F49" t="str">
        <v>History</v>
      </c>
      <c r="G49">
        <v>3</v>
      </c>
      <c r="H49">
        <v>3</v>
      </c>
      <c r="J49" s="3" t="s">
        <v>35</v>
      </c>
      <c r="K49">
        <v>12</v>
      </c>
      <c r="L49" s="6">
        <v>0.4</v>
      </c>
      <c r="M49" s="7">
        <v>0.6</v>
      </c>
    </row>
    <row r="50" spans="2:13" x14ac:dyDescent="0.3">
      <c r="B50" s="3" t="s">
        <v>23</v>
      </c>
      <c r="C50">
        <v>0</v>
      </c>
      <c r="F50" t="str">
        <v>Math</v>
      </c>
      <c r="G50">
        <v>3</v>
      </c>
      <c r="H50">
        <v>11</v>
      </c>
    </row>
    <row r="51" spans="2:13" x14ac:dyDescent="0.3">
      <c r="B51" s="3" t="s">
        <v>5</v>
      </c>
      <c r="C51">
        <v>0</v>
      </c>
      <c r="F51" t="str">
        <v>Physics</v>
      </c>
      <c r="G51">
        <v>3</v>
      </c>
      <c r="H51">
        <v>12</v>
      </c>
      <c r="L51" t="s">
        <v>189</v>
      </c>
      <c r="M51" t="s">
        <v>190</v>
      </c>
    </row>
    <row r="52" spans="2:13" x14ac:dyDescent="0.3">
      <c r="B52" s="3" t="s">
        <v>13</v>
      </c>
      <c r="C52">
        <v>1</v>
      </c>
      <c r="F52" t="str">
        <v>Science</v>
      </c>
      <c r="G52">
        <v>3</v>
      </c>
      <c r="H52">
        <v>6</v>
      </c>
      <c r="L52">
        <f>SIN(K54*2*PI())</f>
        <v>-0.58778525229247303</v>
      </c>
      <c r="M52">
        <f>COS(K55*PI())</f>
        <v>0.30901699437494745</v>
      </c>
    </row>
    <row r="53" spans="2:13" x14ac:dyDescent="0.3">
      <c r="B53" s="3" t="s">
        <v>10</v>
      </c>
      <c r="C53">
        <v>1</v>
      </c>
      <c r="F53" t="str">
        <v>Sociology</v>
      </c>
      <c r="G53">
        <v>1</v>
      </c>
      <c r="H53">
        <v>2</v>
      </c>
      <c r="L53">
        <v>0</v>
      </c>
      <c r="M53">
        <v>1</v>
      </c>
    </row>
    <row r="54" spans="2:13" x14ac:dyDescent="0.3">
      <c r="B54" s="3" t="s">
        <v>24</v>
      </c>
      <c r="C54">
        <v>2</v>
      </c>
      <c r="F54" t="str">
        <v>Grand Total</v>
      </c>
      <c r="G54">
        <v>30</v>
      </c>
      <c r="H54">
        <v>74</v>
      </c>
      <c r="J54" t="s">
        <v>188</v>
      </c>
      <c r="K54" s="7">
        <v>0.6</v>
      </c>
    </row>
    <row r="55" spans="2:13" x14ac:dyDescent="0.3">
      <c r="B55" s="3" t="s">
        <v>19</v>
      </c>
      <c r="C55">
        <v>1</v>
      </c>
      <c r="K55" s="7">
        <v>0.4</v>
      </c>
    </row>
    <row r="56" spans="2:13" x14ac:dyDescent="0.3">
      <c r="B56" s="3" t="s">
        <v>14</v>
      </c>
      <c r="C56">
        <v>0</v>
      </c>
    </row>
    <row r="57" spans="2:13" x14ac:dyDescent="0.3">
      <c r="B57" s="3" t="s">
        <v>8</v>
      </c>
      <c r="C57">
        <v>0</v>
      </c>
    </row>
    <row r="58" spans="2:13" x14ac:dyDescent="0.3">
      <c r="B58" s="3" t="s">
        <v>17</v>
      </c>
      <c r="C58">
        <v>0</v>
      </c>
    </row>
    <row r="59" spans="2:13" x14ac:dyDescent="0.3">
      <c r="B59" s="3" t="s">
        <v>12</v>
      </c>
      <c r="C59">
        <v>0</v>
      </c>
    </row>
    <row r="60" spans="2:13" x14ac:dyDescent="0.3">
      <c r="B60" s="3" t="s">
        <v>11</v>
      </c>
      <c r="C60">
        <v>0</v>
      </c>
      <c r="E60" t="str" cm="1">
        <f t="array" ref="E60:F62">B38:C40</f>
        <v>Row Labels</v>
      </c>
      <c r="F60" t="str">
        <v>Count of Teacher   shortage  status</v>
      </c>
    </row>
    <row r="61" spans="2:13" x14ac:dyDescent="0.3">
      <c r="B61" s="3" t="s">
        <v>9</v>
      </c>
      <c r="C61">
        <v>0</v>
      </c>
      <c r="E61" t="str">
        <v>Shortage</v>
      </c>
      <c r="F61">
        <v>9</v>
      </c>
      <c r="H61" t="str" cm="1">
        <f t="array" ref="H61:J62">B6:D7</f>
        <v>Sum of Teachers Required</v>
      </c>
      <c r="I61" t="str">
        <v>Sum of Teachers Assigned</v>
      </c>
      <c r="J61" t="str">
        <v>Sum of Teacher Needed</v>
      </c>
    </row>
    <row r="62" spans="2:13" x14ac:dyDescent="0.3">
      <c r="B62" s="3" t="s">
        <v>6</v>
      </c>
      <c r="C62">
        <v>1</v>
      </c>
      <c r="E62" t="str">
        <v>Sufficient</v>
      </c>
      <c r="F62">
        <v>12</v>
      </c>
      <c r="H62">
        <v>35</v>
      </c>
      <c r="I62">
        <v>24</v>
      </c>
      <c r="J62">
        <v>11</v>
      </c>
    </row>
    <row r="63" spans="2:13" x14ac:dyDescent="0.3">
      <c r="B63" s="3" t="s">
        <v>18</v>
      </c>
      <c r="C63">
        <v>1</v>
      </c>
    </row>
    <row r="64" spans="2:13" x14ac:dyDescent="0.3">
      <c r="B64" s="3" t="s">
        <v>16</v>
      </c>
      <c r="C64">
        <v>0</v>
      </c>
    </row>
    <row r="65" spans="2:12" x14ac:dyDescent="0.3">
      <c r="B65" s="3" t="s">
        <v>4</v>
      </c>
      <c r="C65">
        <v>2</v>
      </c>
    </row>
    <row r="66" spans="2:12" x14ac:dyDescent="0.3">
      <c r="B66" s="3" t="s">
        <v>21</v>
      </c>
      <c r="C66">
        <v>0</v>
      </c>
      <c r="K66" t="str" cm="1">
        <f t="array" ref="K66:L69">B38:C41</f>
        <v>Row Labels</v>
      </c>
      <c r="L66" t="str">
        <v>Count of Teacher   shortage  status</v>
      </c>
    </row>
    <row r="67" spans="2:12" x14ac:dyDescent="0.3">
      <c r="B67" s="3" t="s">
        <v>20</v>
      </c>
      <c r="C67">
        <v>0</v>
      </c>
      <c r="E67" s="6"/>
      <c r="K67" t="str">
        <v>Shortage</v>
      </c>
      <c r="L67">
        <v>9</v>
      </c>
    </row>
    <row r="68" spans="2:12" x14ac:dyDescent="0.3">
      <c r="B68" s="3" t="s">
        <v>165</v>
      </c>
      <c r="C68">
        <v>11</v>
      </c>
      <c r="K68" t="str">
        <v>Sufficient</v>
      </c>
      <c r="L68">
        <v>12</v>
      </c>
    </row>
    <row r="69" spans="2:12" x14ac:dyDescent="0.3">
      <c r="K69" t="str">
        <v>Grand Total</v>
      </c>
      <c r="L69">
        <v>21</v>
      </c>
    </row>
    <row r="70" spans="2:12" x14ac:dyDescent="0.3">
      <c r="E70" t="str" cm="1">
        <f t="array" ref="E70:F91">B46:C67</f>
        <v>Row Labels</v>
      </c>
      <c r="F70" t="str">
        <v>Sum of Teacher Needed</v>
      </c>
    </row>
    <row r="71" spans="2:12" x14ac:dyDescent="0.3">
      <c r="B71" t="str" cm="1">
        <f t="array" ref="B71:D93">B11:D33</f>
        <v>Row Labels</v>
      </c>
      <c r="C71" t="str">
        <v>Sum of Teachers Assigned</v>
      </c>
      <c r="D71" t="str">
        <v>Sum of Teacher Needed</v>
      </c>
      <c r="E71" t="str">
        <v>Accountancy</v>
      </c>
      <c r="F71">
        <v>1</v>
      </c>
    </row>
    <row r="72" spans="2:12" x14ac:dyDescent="0.3">
      <c r="B72" t="str">
        <v>Accountancy</v>
      </c>
      <c r="C72">
        <v>1</v>
      </c>
      <c r="D72">
        <v>1</v>
      </c>
      <c r="E72" t="str">
        <v>Art</v>
      </c>
      <c r="F72">
        <v>0</v>
      </c>
    </row>
    <row r="73" spans="2:12" x14ac:dyDescent="0.3">
      <c r="B73" t="str">
        <v>Art</v>
      </c>
      <c r="C73">
        <v>1</v>
      </c>
      <c r="D73">
        <v>0</v>
      </c>
      <c r="E73" t="str">
        <v>Biology</v>
      </c>
      <c r="F73">
        <v>1</v>
      </c>
    </row>
    <row r="74" spans="2:12" x14ac:dyDescent="0.3">
      <c r="B74" t="str">
        <v>Biology</v>
      </c>
      <c r="C74">
        <v>1</v>
      </c>
      <c r="D74">
        <v>1</v>
      </c>
      <c r="E74" t="str">
        <v>Business Studies</v>
      </c>
      <c r="F74">
        <v>0</v>
      </c>
    </row>
    <row r="75" spans="2:12" x14ac:dyDescent="0.3">
      <c r="B75" t="str">
        <v>Business Studies</v>
      </c>
      <c r="C75">
        <v>2</v>
      </c>
      <c r="D75">
        <v>0</v>
      </c>
      <c r="E75" t="str">
        <v>Chemistry</v>
      </c>
      <c r="F75">
        <v>0</v>
      </c>
    </row>
    <row r="76" spans="2:12" x14ac:dyDescent="0.3">
      <c r="B76" t="str">
        <v>Chemistry</v>
      </c>
      <c r="C76">
        <v>2</v>
      </c>
      <c r="D76">
        <v>0</v>
      </c>
      <c r="E76" t="str">
        <v>Civics</v>
      </c>
      <c r="F76">
        <v>1</v>
      </c>
    </row>
    <row r="77" spans="2:12" x14ac:dyDescent="0.3">
      <c r="B77" t="str">
        <v>Civics</v>
      </c>
      <c r="C77">
        <v>0</v>
      </c>
      <c r="D77">
        <v>1</v>
      </c>
      <c r="E77" t="str">
        <v>Computer</v>
      </c>
      <c r="F77">
        <v>1</v>
      </c>
    </row>
    <row r="78" spans="2:12" x14ac:dyDescent="0.3">
      <c r="B78" t="str">
        <v>Computer</v>
      </c>
      <c r="C78">
        <v>1</v>
      </c>
      <c r="D78">
        <v>1</v>
      </c>
      <c r="E78" t="str">
        <v>Current affaris</v>
      </c>
      <c r="F78">
        <v>2</v>
      </c>
    </row>
    <row r="79" spans="2:12" x14ac:dyDescent="0.3">
      <c r="B79" t="str">
        <v>Current affaris</v>
      </c>
      <c r="C79">
        <v>2</v>
      </c>
      <c r="D79">
        <v>2</v>
      </c>
      <c r="E79" t="str">
        <v>Dance</v>
      </c>
      <c r="F79">
        <v>1</v>
      </c>
    </row>
    <row r="80" spans="2:12" x14ac:dyDescent="0.3">
      <c r="B80" t="str">
        <v>Dance</v>
      </c>
      <c r="C80">
        <v>0</v>
      </c>
      <c r="D80">
        <v>1</v>
      </c>
      <c r="E80" t="str">
        <v>Economics</v>
      </c>
      <c r="F80">
        <v>0</v>
      </c>
    </row>
    <row r="81" spans="2:6" x14ac:dyDescent="0.3">
      <c r="B81" t="str">
        <v>Economics</v>
      </c>
      <c r="C81">
        <v>1</v>
      </c>
      <c r="D81">
        <v>0</v>
      </c>
      <c r="E81" t="str">
        <v>English</v>
      </c>
      <c r="F81">
        <v>0</v>
      </c>
    </row>
    <row r="82" spans="2:6" x14ac:dyDescent="0.3">
      <c r="B82" t="str">
        <v>English</v>
      </c>
      <c r="C82">
        <v>2</v>
      </c>
      <c r="D82">
        <v>0</v>
      </c>
      <c r="E82" t="str">
        <v>Environmental Science</v>
      </c>
      <c r="F82">
        <v>0</v>
      </c>
    </row>
    <row r="83" spans="2:6" x14ac:dyDescent="0.3">
      <c r="B83" t="str">
        <v>Environmental Science</v>
      </c>
      <c r="C83">
        <v>1</v>
      </c>
      <c r="D83">
        <v>0</v>
      </c>
      <c r="E83" t="str">
        <v>Geography</v>
      </c>
      <c r="F83">
        <v>0</v>
      </c>
    </row>
    <row r="84" spans="2:6" x14ac:dyDescent="0.3">
      <c r="B84" t="str">
        <v>Geography</v>
      </c>
      <c r="C84">
        <v>1</v>
      </c>
      <c r="D84">
        <v>0</v>
      </c>
      <c r="E84" t="str">
        <v>Hindi</v>
      </c>
      <c r="F84">
        <v>0</v>
      </c>
    </row>
    <row r="85" spans="2:6" x14ac:dyDescent="0.3">
      <c r="B85" t="str">
        <v>Hindi</v>
      </c>
      <c r="C85">
        <v>1</v>
      </c>
      <c r="D85">
        <v>0</v>
      </c>
      <c r="E85" t="str">
        <v>History</v>
      </c>
      <c r="F85">
        <v>0</v>
      </c>
    </row>
    <row r="86" spans="2:6" x14ac:dyDescent="0.3">
      <c r="B86" t="str">
        <v>History</v>
      </c>
      <c r="C86">
        <v>1</v>
      </c>
      <c r="D86">
        <v>0</v>
      </c>
      <c r="E86" t="str">
        <v>Math</v>
      </c>
      <c r="F86">
        <v>1</v>
      </c>
    </row>
    <row r="87" spans="2:6" x14ac:dyDescent="0.3">
      <c r="B87" t="str">
        <v>Math</v>
      </c>
      <c r="C87">
        <v>2</v>
      </c>
      <c r="D87">
        <v>1</v>
      </c>
      <c r="E87" t="str">
        <v>Music</v>
      </c>
      <c r="F87">
        <v>1</v>
      </c>
    </row>
    <row r="88" spans="2:6" x14ac:dyDescent="0.3">
      <c r="B88" t="str">
        <v>Music</v>
      </c>
      <c r="C88">
        <v>0</v>
      </c>
      <c r="D88">
        <v>1</v>
      </c>
      <c r="E88" t="str">
        <v>Physical Education</v>
      </c>
      <c r="F88">
        <v>0</v>
      </c>
    </row>
    <row r="89" spans="2:6" x14ac:dyDescent="0.3">
      <c r="B89" t="str">
        <v>Physical Education</v>
      </c>
      <c r="C89">
        <v>2</v>
      </c>
      <c r="D89">
        <v>0</v>
      </c>
      <c r="E89" t="str">
        <v>Physics</v>
      </c>
      <c r="F89">
        <v>2</v>
      </c>
    </row>
    <row r="90" spans="2:6" x14ac:dyDescent="0.3">
      <c r="B90" t="str">
        <v>Physics</v>
      </c>
      <c r="C90">
        <v>1</v>
      </c>
      <c r="D90">
        <v>2</v>
      </c>
      <c r="E90" t="str">
        <v>Psychology</v>
      </c>
      <c r="F90">
        <v>0</v>
      </c>
    </row>
    <row r="91" spans="2:6" x14ac:dyDescent="0.3">
      <c r="B91" t="str">
        <v>Psychology</v>
      </c>
      <c r="C91">
        <v>1</v>
      </c>
      <c r="D91">
        <v>0</v>
      </c>
      <c r="E91" t="str">
        <v>Sanskrit</v>
      </c>
      <c r="F91">
        <v>0</v>
      </c>
    </row>
    <row r="92" spans="2:6" x14ac:dyDescent="0.3">
      <c r="B92" t="str">
        <v>Sanskrit</v>
      </c>
      <c r="C92">
        <v>1</v>
      </c>
      <c r="D92">
        <v>0</v>
      </c>
    </row>
    <row r="93" spans="2:6" x14ac:dyDescent="0.3">
      <c r="B93" t="str">
        <v>Grand Total</v>
      </c>
      <c r="C93">
        <v>24</v>
      </c>
      <c r="D93">
        <v>11</v>
      </c>
    </row>
  </sheetData>
  <mergeCells count="2">
    <mergeCell ref="R16:S16"/>
    <mergeCell ref="U28:V28"/>
  </mergeCells>
  <pageMargins left="0.7" right="0.7" top="0.75" bottom="0.75" header="0.3" footer="0.3"/>
  <pageSetup orientation="portrait" r:id="rId14"/>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0C4A-7AF4-4292-B121-E4CCA7C088BF}">
  <dimension ref="A1:BC100"/>
  <sheetViews>
    <sheetView showGridLines="0" tabSelected="1" zoomScale="41" zoomScaleNormal="70" workbookViewId="0">
      <selection activeCell="AH54" sqref="AH54"/>
    </sheetView>
  </sheetViews>
  <sheetFormatPr defaultRowHeight="14.4" x14ac:dyDescent="0.3"/>
  <sheetData>
    <row r="1" spans="1:55"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row>
    <row r="2" spans="1:55"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row>
    <row r="3" spans="1:55"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row>
    <row r="5" spans="1:55"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row>
    <row r="6" spans="1:55"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row>
    <row r="7" spans="1:55"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row>
    <row r="8" spans="1:55"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row>
    <row r="9" spans="1:55"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row>
    <row r="10" spans="1:55"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row>
    <row r="11" spans="1:55"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row>
    <row r="12" spans="1:55"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row>
    <row r="13" spans="1:55"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row>
    <row r="14" spans="1:55"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row>
    <row r="15" spans="1:55"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row>
    <row r="16" spans="1:55"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row>
    <row r="17" spans="1:55"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row>
    <row r="18" spans="1:55"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row>
    <row r="19" spans="1:55"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row>
    <row r="20" spans="1:55"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row>
    <row r="21" spans="1:55"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row>
    <row r="22" spans="1:55"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row>
    <row r="23" spans="1:55"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row>
    <row r="24" spans="1:55"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row>
    <row r="25" spans="1:55"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row>
    <row r="26" spans="1:55"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row>
    <row r="27" spans="1:55"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row>
    <row r="28" spans="1:55"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row>
    <row r="29" spans="1:55"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row>
    <row r="30" spans="1:55"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row>
    <row r="31" spans="1:55"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row>
    <row r="32" spans="1:55"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row>
    <row r="33" spans="1:55"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row>
    <row r="34" spans="1:55"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row>
    <row r="35" spans="1:55"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row>
    <row r="36" spans="1:55"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row>
    <row r="37" spans="1:55"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row>
    <row r="38" spans="1:55"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row>
    <row r="39" spans="1:55"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row>
    <row r="40" spans="1:55"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row>
    <row r="41" spans="1:55"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row>
    <row r="42" spans="1:55"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row>
    <row r="43" spans="1:55"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row>
    <row r="44" spans="1:55"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row>
    <row r="45" spans="1:55"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row>
    <row r="46" spans="1:55"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row>
    <row r="47" spans="1:55"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row>
    <row r="48" spans="1:55"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row>
    <row r="49" spans="1:55"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row>
    <row r="50" spans="1:55"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row>
    <row r="51" spans="1:55"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row>
    <row r="52" spans="1:55"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row>
    <row r="53" spans="1:55"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row>
    <row r="54" spans="1:55"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row>
    <row r="55" spans="1:55"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row>
    <row r="56" spans="1:55"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row>
    <row r="57" spans="1:55"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row>
    <row r="58" spans="1:55"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row>
    <row r="59" spans="1:55"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row>
    <row r="60" spans="1:55"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row>
    <row r="61" spans="1:55"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row>
    <row r="62" spans="1:55"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row>
    <row r="63" spans="1:55"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row>
    <row r="64" spans="1:55"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row>
    <row r="65" spans="1:55"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row>
    <row r="66" spans="1:55"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row>
    <row r="67" spans="1:55"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row>
    <row r="68" spans="1:55"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row>
    <row r="69" spans="1:55"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row>
    <row r="70" spans="1:55"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row>
    <row r="71" spans="1:55"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row>
    <row r="72" spans="1:55"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row>
    <row r="73" spans="1:55"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row>
    <row r="74" spans="1:55"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row>
    <row r="75" spans="1:55"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row>
    <row r="76" spans="1:55"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row>
    <row r="77" spans="1:55"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row>
    <row r="78" spans="1:55"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row>
    <row r="79" spans="1:55"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row>
    <row r="80" spans="1:55"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row>
    <row r="81" spans="1:55"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row>
    <row r="82" spans="1:55"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row>
    <row r="83" spans="1:55"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row>
    <row r="84" spans="1:55"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row>
    <row r="85" spans="1:55"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row>
    <row r="86" spans="1:55"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row>
    <row r="87" spans="1:55"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row>
    <row r="88" spans="1:55"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row>
    <row r="89" spans="1:55"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row>
    <row r="90" spans="1:55"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row>
    <row r="91" spans="1:55"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row>
    <row r="92" spans="1:55"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row>
    <row r="93" spans="1:55"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row>
    <row r="94" spans="1:55"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row>
    <row r="95" spans="1:55"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row>
    <row r="96" spans="1:55"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row>
    <row r="97" spans="1:55"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row>
    <row r="98" spans="1:55"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row>
    <row r="99" spans="1:55"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row>
    <row r="100" spans="1:55"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b17a875-3949-449c-a33c-ef92c5484c8f"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CA60B89CDF11E4FB6CE8BD884EE9556" ma:contentTypeVersion="9" ma:contentTypeDescription="Create a new document." ma:contentTypeScope="" ma:versionID="cd9eb7448ba67356fb29771b8ecebbb2">
  <xsd:schema xmlns:xsd="http://www.w3.org/2001/XMLSchema" xmlns:xs="http://www.w3.org/2001/XMLSchema" xmlns:p="http://schemas.microsoft.com/office/2006/metadata/properties" xmlns:ns3="3b17a875-3949-449c-a33c-ef92c5484c8f" targetNamespace="http://schemas.microsoft.com/office/2006/metadata/properties" ma:root="true" ma:fieldsID="6af805d47486a23a8c06966de3f46b71" ns3:_="">
    <xsd:import namespace="3b17a875-3949-449c-a33c-ef92c5484c8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17a875-3949-449c-a33c-ef92c5484c8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189D11-777B-4EAD-837B-F20DD1B12A43}">
  <ds:schemaRefs>
    <ds:schemaRef ds:uri="http://schemas.microsoft.com/DataMashup"/>
  </ds:schemaRefs>
</ds:datastoreItem>
</file>

<file path=customXml/itemProps2.xml><?xml version="1.0" encoding="utf-8"?>
<ds:datastoreItem xmlns:ds="http://schemas.openxmlformats.org/officeDocument/2006/customXml" ds:itemID="{C3365155-7B28-4AFD-8748-26B2C89E4565}">
  <ds:schemaRefs>
    <ds:schemaRef ds:uri="http://schemas.microsoft.com/sharepoint/v3/contenttype/forms"/>
  </ds:schemaRefs>
</ds:datastoreItem>
</file>

<file path=customXml/itemProps3.xml><?xml version="1.0" encoding="utf-8"?>
<ds:datastoreItem xmlns:ds="http://schemas.openxmlformats.org/officeDocument/2006/customXml" ds:itemID="{8B03A1C4-7DD0-45D5-A7C9-C3A347C19EE0}">
  <ds:schemaRef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3b17a875-3949-449c-a33c-ef92c5484c8f"/>
  </ds:schemaRefs>
</ds:datastoreItem>
</file>

<file path=customXml/itemProps4.xml><?xml version="1.0" encoding="utf-8"?>
<ds:datastoreItem xmlns:ds="http://schemas.openxmlformats.org/officeDocument/2006/customXml" ds:itemID="{95B4154A-1AFC-43E4-BA3E-ADAF6F246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17a875-3949-449c-a33c-ef92c5484c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Teachers_availability</vt:lpstr>
      <vt:lpstr>Book_details</vt:lpstr>
      <vt:lpstr>Food_items</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Neeraja Palla</dc:creator>
  <cp:keywords/>
  <dc:description/>
  <cp:lastModifiedBy>23MH1A4463</cp:lastModifiedBy>
  <cp:revision/>
  <dcterms:created xsi:type="dcterms:W3CDTF">2025-07-28T04:52:54Z</dcterms:created>
  <dcterms:modified xsi:type="dcterms:W3CDTF">2025-08-29T06:09:48Z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0x0101007CA60B89CDF11E4FB6CE8BD884EE9556</vt:lpwstr>
  </property>
</Properties>
</file>